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3"/>
  <workbookPr showInkAnnotation="0" autoCompressPictures="0"/>
  <mc:AlternateContent xmlns:mc="http://schemas.openxmlformats.org/markup-compatibility/2006">
    <mc:Choice Requires="x15">
      <x15ac:absPath xmlns:x15ac="http://schemas.microsoft.com/office/spreadsheetml/2010/11/ac" url="/Users/Lisette/Library/Mobile Documents/com~apple~CloudDocs/Demand Metric/REBRAND PROJECT 2018/2. FINAL VERSION/FINAL Assessments/"/>
    </mc:Choice>
  </mc:AlternateContent>
  <xr:revisionPtr revIDLastSave="0" documentId="13_ncr:1_{F52BBB87-7876-234C-B5B8-0E1505EB610E}" xr6:coauthVersionLast="33" xr6:coauthVersionMax="33" xr10:uidLastSave="{00000000-0000-0000-0000-000000000000}"/>
  <bookViews>
    <workbookView xWindow="0" yWindow="460" windowWidth="25600" windowHeight="15540" xr2:uid="{00000000-000D-0000-FFFF-FFFF00000000}"/>
  </bookViews>
  <sheets>
    <sheet name="Instructions" sheetId="590" r:id="rId1"/>
    <sheet name="Weighting" sheetId="589" r:id="rId2"/>
    <sheet name="Self Assessment" sheetId="1" r:id="rId3"/>
    <sheet name="Results" sheetId="587" r:id="rId4"/>
    <sheet name="Recommendations" sheetId="584" r:id="rId5"/>
    <sheet name="About Author" sheetId="591" r:id="rId6"/>
  </sheets>
  <definedNames>
    <definedName name="Goal_State" localSheetId="3">Results!#REF!</definedName>
    <definedName name="GoalState" localSheetId="5">#REF!</definedName>
    <definedName name="GoalState">Results!#REF!</definedName>
    <definedName name="_xlnm.Print_Area" localSheetId="5">'About Author'!$A$2:$G$13</definedName>
    <definedName name="_xlnm.Print_Area" localSheetId="0">Instructions!$A$1:$B$8</definedName>
    <definedName name="_xlnm.Print_Area" localSheetId="4">Recommendations!$A$1:$D$50</definedName>
    <definedName name="_xlnm.Print_Area" localSheetId="3">Results!$A$3:$E$8</definedName>
    <definedName name="_xlnm.Print_Area" localSheetId="2">'Self Assessment'!$A$1:$D$33</definedName>
    <definedName name="_xlnm.Print_Area" localSheetId="1">Weighting!$A$1:$F$4</definedName>
  </definedNames>
  <calcPr calcId="179017"/>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D6" i="587" l="1"/>
  <c r="D4" i="587"/>
  <c r="D5" i="587"/>
  <c r="D7" i="587"/>
  <c r="D8" i="587"/>
  <c r="C7" i="587"/>
  <c r="C6" i="587"/>
  <c r="C5" i="587"/>
  <c r="C4" i="587"/>
  <c r="C8" i="587"/>
  <c r="C5" i="584"/>
  <c r="C50" i="584"/>
  <c r="C49" i="584"/>
  <c r="C48" i="584"/>
  <c r="C47" i="584"/>
  <c r="C46" i="584"/>
  <c r="C45" i="584"/>
  <c r="C44" i="584"/>
  <c r="C43" i="584"/>
  <c r="C42" i="584"/>
  <c r="C41" i="584"/>
  <c r="C38" i="584"/>
  <c r="C37" i="584"/>
  <c r="C36" i="584"/>
  <c r="C35" i="584"/>
  <c r="C34" i="584"/>
  <c r="C33" i="584"/>
  <c r="C32" i="584"/>
  <c r="C31" i="584"/>
  <c r="C30" i="584"/>
  <c r="C29" i="584"/>
  <c r="C26" i="584"/>
  <c r="C25" i="584"/>
  <c r="C24" i="584"/>
  <c r="C23" i="584"/>
  <c r="C22" i="584"/>
  <c r="C21" i="584"/>
  <c r="C20" i="584"/>
  <c r="C19" i="584"/>
  <c r="C18" i="584"/>
  <c r="C17" i="584"/>
  <c r="C10" i="584"/>
  <c r="C6" i="584"/>
  <c r="C7" i="584"/>
  <c r="C8" i="584"/>
  <c r="C9" i="584"/>
  <c r="C11" i="584"/>
  <c r="C12" i="584"/>
  <c r="C13" i="584"/>
  <c r="C14" i="584"/>
  <c r="B40" i="584"/>
  <c r="B28" i="584"/>
  <c r="B16" i="584"/>
  <c r="B7" i="587"/>
  <c r="B6" i="587"/>
  <c r="B5" i="587"/>
  <c r="F4" i="589"/>
  <c r="B4" i="587"/>
  <c r="B4" i="584"/>
</calcChain>
</file>

<file path=xl/sharedStrings.xml><?xml version="1.0" encoding="utf-8"?>
<sst xmlns="http://schemas.openxmlformats.org/spreadsheetml/2006/main" count="187" uniqueCount="164">
  <si>
    <t>Score</t>
  </si>
  <si>
    <t>Scores</t>
  </si>
  <si>
    <t>Recommendations</t>
  </si>
  <si>
    <t>Notes/Comments</t>
  </si>
  <si>
    <t>Description of Best Practices</t>
  </si>
  <si>
    <t>2. In the "Self Assessment" tab, rank your organization on a scale of 1-5 on your compliance with each best practice.</t>
  </si>
  <si>
    <t>Total</t>
  </si>
  <si>
    <t>Weighting Scale</t>
  </si>
  <si>
    <t>Instructions</t>
  </si>
  <si>
    <t xml:space="preserve">1. In the "Weighting" tab, set the weighting for each category based on relevancy and current business needs. </t>
  </si>
  <si>
    <t>Level</t>
  </si>
  <si>
    <t xml:space="preserve">3. Check the "Results" tab to identify your level of maturity in each category. </t>
  </si>
  <si>
    <t>4. View the "Recommendations" tab for actionable advice on how to improve your capabilities.</t>
  </si>
  <si>
    <t>Brand Assessment Tool</t>
  </si>
  <si>
    <t>Use this tool to analyze your organization's capabilities and ability to execute a successful branding program.</t>
  </si>
  <si>
    <t>5. Learn more about The Sellani Group and their best-selling book What’s Your BQ? (Brand Quotient™) in the "About Author" tab.</t>
  </si>
  <si>
    <t xml:space="preserve">Author, consultant, speaker and trainer Sandra Sellani is Principal of The Sellani Group Brand Strategists, a full-service Newport Beach, California based consultancy.  The Sellani Group helps companies build, leverage and maximize the value of their brands by focusing on their strongest point of competitive differentiation. </t>
  </si>
  <si>
    <t>Upon creation of a strategy, the firm provides all creative elements of a full service design and marketing firm including: logos and corporate identity packages, websites, brochures, and other collateral material, public relations and social media campaigns.</t>
  </si>
  <si>
    <t>The group enables companies to get their marketing and branding right the first time with one simple rule: Strategy Before Creative.  To this end, Sandra develops a brand plan that is fully integrated with the overall corporate plan to ensure that company branding is leveraged throughout the organization - in creative elements such as marketing materials and at every client touch point throughout the organization. Her proprietary programs include:</t>
  </si>
  <si>
    <t xml:space="preserve">The One-Day Brand Strategy Session™  to help companies define and optimize their brand, </t>
  </si>
  <si>
    <t xml:space="preserve">The Brand Quotient Test™, a corporate brand diagnostic and metric tool, </t>
  </si>
  <si>
    <t xml:space="preserve">The 60-Minute Strategic Plan® a method that enables company employees at every level to create well-organized strategic plans for projects within their respective departments.  </t>
  </si>
  <si>
    <t>Her award-winning book, What’s Your BQ? (Brand Quotient™) launched to #12 in Marketing , # 7 in Branding and #2 in Product Management on Amazon.com. The book was named, Winner, Non-Fiction, DIY Book Festival and received an Honorable Mention, Non-Fiction, in the London Book Festival.</t>
  </si>
  <si>
    <t xml:space="preserve">Sandra has been interviewed and featured for her brand expertise in media including: Sales &amp; Service Excellence Magazine, Yahoo! Finance, The National Association of Realtors Online Magazine, SmartMoney.com, Investor’s Business Daily and Moodley Brand Identity, one of Austria’s leading brand agencies.  Sandra speaks to organizations, CEOs, senior level executives and entrepreneurs nationwide on how to build powerful, inimitable brands. </t>
  </si>
  <si>
    <t>Sandra is an active member of the Orange County Association of Strategic Planning and NAWBO (National Association of Women Business Owners). She is an executive MBA from Pepperdine University, Malibu, California.  For more information, visit www.sandrasellani.com, www.whatsyourbq.com or follow Sandra on Twitter at ssbrand.</t>
  </si>
  <si>
    <t xml:space="preserve">The Executive Brand Quotient Assessment™, a comprehensive tool that combines individual behavioral traits with branding methods for executives in transition who want to develop or change their own personal brands. </t>
  </si>
  <si>
    <t>Brand Strategy</t>
  </si>
  <si>
    <t>Brand Alignment</t>
  </si>
  <si>
    <t>Brand Communication</t>
  </si>
  <si>
    <t>Brand Execution</t>
  </si>
  <si>
    <t>My company's product or service has a strong point of difference from my competitors' product or service.</t>
  </si>
  <si>
    <t xml:space="preserve"> I can summarize my brand essence in one word and one statement – so can most of my clients (i.e., Volvo = Safety, Nike = \“Just Do it\”). If so, give yourself a 5.</t>
  </si>
  <si>
    <t>The value of my product or service does not show a current threat of being outdated by new products or technologies.</t>
  </si>
  <si>
    <t>I regularly review my points of differentiation to ensure that they are not being imitated by my competitors.</t>
  </si>
  <si>
    <t>I have a clear understanding of my competitors' brand strength and weaknesses.</t>
  </si>
  <si>
    <t>I have a plan to help my brand survive if it is imitated by competitors.</t>
  </si>
  <si>
    <t>I have proprietary methods, technologies or other elements which other companies do not.</t>
  </si>
  <si>
    <t>My point of differentiation is difficult for my competitors to imitate.</t>
  </si>
  <si>
    <t>I am using my company's strengths to their fullest, in every level of the organization.</t>
  </si>
  <si>
    <t xml:space="preserve">I am building every level of the organization - operations, finance, marketing, administration, pricing - around the brand.  </t>
  </si>
  <si>
    <t>My brand is linked to my business's vision statement, culture, values and overall strategy.</t>
  </si>
  <si>
    <t>Employee reviews include reinforcement and rewards for supporting, communicating and championing the brand. (If you are a salesperson or a 1-man operation, give yourself a "5" for this.</t>
  </si>
  <si>
    <t>My employees can articulate or demonstrate how our offering differs from the competition. (Note: if you are a salesperson or a one-man operation, rank this on how it applies to you.</t>
  </si>
  <si>
    <t>My sales staff communicates our differentiation to the client in a consistent manner to show competitive advantages (Note: If you are a salesperson or a one-man operation, rank this on how it applies to you.)</t>
  </si>
  <si>
    <t>Customers buy from me not just for the product but for a unique experience they get when using the product.</t>
  </si>
  <si>
    <t>I regularly survey my customers to ensure that I am providing a product or service that is valuable and relevant.</t>
  </si>
  <si>
    <t>I incorporate feedback from prospects, customers, vendors and the media to improve my offering.</t>
  </si>
  <si>
    <t>My management team buys into the brand offering and actively incorporates it into their daily operations. (Note: If you are a salesperson or a one-man organization, rank this on how it applies to you.)</t>
  </si>
  <si>
    <t>My management team makes decisions based on whether or not it will support or negate the brand. (Note: if you are a sales person or a on-man organization, rank this on how it applies to you.)</t>
  </si>
  <si>
    <t xml:space="preserve">I am not the low price leader in my category.   </t>
  </si>
  <si>
    <t>My marketing materials clearly communicate my companies brand and points of competitive differentiation.</t>
  </si>
  <si>
    <t>My company is free of scandal and negative publicity.</t>
  </si>
  <si>
    <t>All marketing materials - print, electronic, web - have continuity in their colors, images, and messaging.</t>
  </si>
  <si>
    <t>I leverage my brand with publicity and regular contacts with the media.</t>
  </si>
  <si>
    <t>I have and enforce a graphic branding standards manual that explains how each element of my brand should be dealt with in the operation of the business (i.e., colors of logo, layout of graphics on stationery, font sizes to be used) to ensure that all graphic elements of my brand are consistent.</t>
  </si>
  <si>
    <t>The quality of my marketing materials are equal to or greater than the quality of my services.</t>
  </si>
  <si>
    <t>My sales team does not create or customize their materials in a way that alters the brand image or message. (Note: If you are a salesperson or a one-man operation, rate this on how it applies to you.)</t>
  </si>
  <si>
    <t>My management team reinforces brand messages in their staff meetings and interactions. (Note: If you are a salesperson or one-man operation, give yourself a "5")</t>
  </si>
  <si>
    <t>My messages, ads, graphics and colors have remained consistent over time, unless there was a specific change strategy in place.</t>
  </si>
  <si>
    <t xml:space="preserve">My sales team uses an emotional component to encourage and reinforce use of the brand. (Note: If you are a sales person or one-man operation rate this on whether or not you employ this tactic.)   </t>
  </si>
  <si>
    <t>My company's phone is answered by a pleasant, knowledgeable individual who can quickly and amiably meet the caller's needs.</t>
  </si>
  <si>
    <t>I understand that my brand exists only in the minds of my customers and prospects.</t>
  </si>
  <si>
    <t>My company resolves customer service issues promptly and efficiently to the client's satisfaction.</t>
  </si>
  <si>
    <t>I regularly receive superior customer satisfaction ratings when I survey my customers.</t>
  </si>
  <si>
    <t>I keep my offerings relevant by keeping up with technology, market shifts and customer needs.</t>
  </si>
  <si>
    <t>My company’s products are delivered consistently regardless of whether they are accessed on the web or in person.</t>
  </si>
  <si>
    <t>My client's interaction with my product, services and employees is positive, unique and memorable.</t>
  </si>
  <si>
    <t>My product or service is easy to use, find or access.</t>
  </si>
  <si>
    <t>My clients regularly refer others to my company.</t>
  </si>
  <si>
    <t>My clients use my brand consistently and do not flip back and forth between me and my competitors.</t>
  </si>
  <si>
    <t>Branding Dimensions</t>
  </si>
  <si>
    <t>My company's product or service has a strong point of difference</t>
  </si>
  <si>
    <t>My clients &amp; I can summarize my brand in one word &amp; one statement</t>
  </si>
  <si>
    <t xml:space="preserve">The value of my product/service does not show a threat of being outdated </t>
  </si>
  <si>
    <t>I regularly review my points of differentiation</t>
  </si>
  <si>
    <t>I have a clear understanding of  competitors' brand strength &amp; weaknesses</t>
  </si>
  <si>
    <t>I have a plan to help my brand survive if it is imitated by competitors</t>
  </si>
  <si>
    <t xml:space="preserve">I have proprietary methods, technologies or other elements </t>
  </si>
  <si>
    <t>My point of differentiation is difficult for my competitors to imitate</t>
  </si>
  <si>
    <t>I use my company's strengths to the fullest, in every level of  the org.</t>
  </si>
  <si>
    <t xml:space="preserve">I am building every level of the organization around the brand </t>
  </si>
  <si>
    <t>My brand is linked to my vision statement, culture, values &amp; strategy</t>
  </si>
  <si>
    <t>Employee reviews include rewards for championing the brand</t>
  </si>
  <si>
    <t>Employees can articulate how our offering differs from the competition</t>
  </si>
  <si>
    <t>Sales staff communicates our differentiation in a consistent manner</t>
  </si>
  <si>
    <t>Customers buy for a unique experience they get when using the product</t>
  </si>
  <si>
    <t>I regularly survey my customers</t>
  </si>
  <si>
    <t>I incorporate feedback from prospects, customers, vendors and the media</t>
  </si>
  <si>
    <t xml:space="preserve">My management team buys into the brand offering </t>
  </si>
  <si>
    <t>Management makes decisions based on support or negate of the brand</t>
  </si>
  <si>
    <t>I am not the low price leader in my category</t>
  </si>
  <si>
    <t xml:space="preserve">My marketing materials clearly communicate my companies brand </t>
  </si>
  <si>
    <t>My company is free of scandal and negative publicity</t>
  </si>
  <si>
    <t xml:space="preserve">All marketing materials have continuity </t>
  </si>
  <si>
    <t>I leverage my brand with publicity and regular contacts with the media</t>
  </si>
  <si>
    <t>I have and enforce a graphic branding standards manual</t>
  </si>
  <si>
    <t>Quality of marketing materials are equal or greater than quality of services</t>
  </si>
  <si>
    <t>Sales team does not create/customize materials in a way that alters brand</t>
  </si>
  <si>
    <t>Management team reinforces brand in staff meetings &amp; interactions</t>
  </si>
  <si>
    <t>My messages, ads, graphics and colors have remained consistent</t>
  </si>
  <si>
    <t>Sales team uses an emotional component to encourage and reinforce brand</t>
  </si>
  <si>
    <t xml:space="preserve">My company's phone is answered by a pleasant, knowledgeable individual </t>
  </si>
  <si>
    <t>I understand that brand exists in the minds of my customers &amp; prospects</t>
  </si>
  <si>
    <t>My company resolves customer service issues promptly and efficiently</t>
  </si>
  <si>
    <t>I  receive superior customer satisfaction ratings when I survey customers</t>
  </si>
  <si>
    <t>Offerings are kept relevant by monitoring tech, markets and customers</t>
  </si>
  <si>
    <t xml:space="preserve">My company’s products are delivered consistently </t>
  </si>
  <si>
    <t>My client's interaction with my product, services and employees is positive</t>
  </si>
  <si>
    <t>My product or service is easy to use, find or access</t>
  </si>
  <si>
    <t>My clients regularly refer others to my company</t>
  </si>
  <si>
    <t>My clients do not flip back and forth between me and my competitors</t>
  </si>
  <si>
    <t>Determine what you do that you competitors do not and reinforce that message regularly.</t>
  </si>
  <si>
    <t>When you have completely brand clarity, your messaging will too.</t>
  </si>
  <si>
    <t>Look at industry trends and stay ahead of the curve or risk obsolescence.</t>
  </si>
  <si>
    <t>Competitors will imitate you - have a plan of action to keep your difference clear in the mind of the consumer.</t>
  </si>
  <si>
    <t>Analyze you top five competitors and their perception in the marketplace.</t>
  </si>
  <si>
    <t>Think two steps ahead and plan how you will inform consumers why your offering is superior to "copycats".</t>
  </si>
  <si>
    <t>Trademarks, processes, and proprietary techniques can make your offering difficult for others to imitate.</t>
  </si>
  <si>
    <t>Products &amp; services can be imitated - brands cannot.  Sell the value of the brand, not the product.</t>
  </si>
  <si>
    <t>Make sure your core competencies are being fully utilized throughout the company.</t>
  </si>
  <si>
    <t>Everyone is a brand ambassador.  Ensure that each department reinforces the brand message.</t>
  </si>
  <si>
    <t>Branding is a function of the corporation, not just the marketing department.  Tie it into overall corporate objectives.</t>
  </si>
  <si>
    <t>Add a line item to your employee performance process to enforce good branding behavior throughout the organization.</t>
  </si>
  <si>
    <t>Every employee should know what makes your company different in the market.  Ask them and see if they do.</t>
  </si>
  <si>
    <t>Branding is often diluted when every member of the sales team gives different messages.  Ensure consistency in the sales, presentation and RFP process.</t>
  </si>
  <si>
    <t>Customers don't buy products, they buy brands, because branding transcends the transaction itself.</t>
  </si>
  <si>
    <t>Customers who are surveyed are more likely to stay and buy more products, even if they are unhappy with you at the time of the survey.</t>
  </si>
  <si>
    <t>Let your stakeholders know that you value their opinions and when you've made changes as a result.</t>
  </si>
  <si>
    <t>If everyone on the team does not support the brand, you will dilute your own branding efforts.</t>
  </si>
  <si>
    <t>Branding should be kept in mind during all decision making processes - not just decisions involving marketing.</t>
  </si>
  <si>
    <t>If people are paying more for your services, chances are they see a point of differentiation.  Don't just ask if they're buying, ask why they're buying from YOU instead of your competition.</t>
  </si>
  <si>
    <t>Every marketing piece should communicate your point of differentiation and brand identity.</t>
  </si>
  <si>
    <t>Brands take years to build and moments to destroy.   Have a PR crisis plan to deal with the media when the unexpected happens.</t>
  </si>
  <si>
    <t>Put all of your materials on a table  - they should all look like they came from the same company, have consistent messaging, imaging and quality.</t>
  </si>
  <si>
    <t xml:space="preserve">Keep on good terms with the media.   Become a resource to them for issues in your industry - even if the story they're covering is not on you per se.  </t>
  </si>
  <si>
    <t>A branding standards manual is essential to ensure brand consistency companywide.  Get help from a brand strategist or designer to create one.</t>
  </si>
  <si>
    <t>Is your service elegant?  Earthy? Sophisticated?  Humorous?  Make sure your materials reflect the personality and quality of the brand.</t>
  </si>
  <si>
    <t>Ensure that all sales materials are consistent - sales people will create their own, often diluting the brand message.</t>
  </si>
  <si>
    <t>Every manager should regularly refer to how their department is supporting the overall brand experience in the company.</t>
  </si>
  <si>
    <t>Don't change your imagery, tagline or messaging on a whim.  Consumers want consistency.  Define your brand  and stick with it.</t>
  </si>
  <si>
    <t>People usually buy because of an emotional component.  Find the emotion in the transaction that goes beyond the product or service.</t>
  </si>
  <si>
    <t>How you greet you customers and prospects speaks volumes about your brand.</t>
  </si>
  <si>
    <t>It doesn't matter who YOU think you are; it matters who THEY think you are.</t>
  </si>
  <si>
    <t>Clients don't get angry with you for making mistakes; they get angry when you don't own up to your mistakes or try to fix them in a timely manner.</t>
  </si>
  <si>
    <t>Find out what your customers think of you - ask.   Don't wait until it's too late to regain their trust.</t>
  </si>
  <si>
    <t>Are your services outdated?  Keep on top of trends and find out how to stay relevant to your audience.</t>
  </si>
  <si>
    <t>Ensure a seamless customer experience regardless of how they access you services.</t>
  </si>
  <si>
    <t>Make your clients feel they're value not just by what you offer but by how you deliver it.</t>
  </si>
  <si>
    <t>Confused people don't buy.   Simplify your processes to make it easy for people to find you and buy from you.</t>
  </si>
  <si>
    <t>Word of Mouth referrals give you brand credibility that you can't get on your own.  Remarkable service will increase these referrals.</t>
  </si>
  <si>
    <t>Your ultimate goal is brand loyalty.   Give people a reason to stay with you for the long term.</t>
  </si>
  <si>
    <t>Ranking Scale</t>
  </si>
  <si>
    <t>1 - Strongly Disagree</t>
  </si>
  <si>
    <t>2 - Disagree</t>
  </si>
  <si>
    <t>4 - Agree</t>
  </si>
  <si>
    <t>5 - Strongly Agree</t>
  </si>
  <si>
    <t>3 - Somewhat Agree</t>
  </si>
  <si>
    <r>
      <t xml:space="preserve">Overall Weighted Average </t>
    </r>
    <r>
      <rPr>
        <b/>
        <sz val="10"/>
        <color rgb="FF404141"/>
        <rFont val="Arial"/>
        <family val="2"/>
      </rPr>
      <t>(out of 5)</t>
    </r>
  </si>
  <si>
    <t>Resource Links</t>
  </si>
  <si>
    <t>Demand Metric had the pleasure of collaborating with expert branding consultant Sandra Sellani of The Sellani Group in the creation of this assessment.  
Following is a brief biography of Sandra Sellani:</t>
  </si>
  <si>
    <t>Report Card</t>
  </si>
  <si>
    <t>DO NOT ENTER VALUES INTO THIS SPREADSHEET</t>
  </si>
  <si>
    <t xml:space="preserve">DO NOT ENTER VALUES INTO THIS SPREADSHEET.    </t>
  </si>
  <si>
    <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</si>
</sst>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40" x14ac:knownFonts="1">
    <font>
      <sz val="10"/>
      <name val="Arial"/>
    </font>
    <font>
      <sz val="10"/>
      <color indexed="23"/>
      <name val="Verdana"/>
      <family val="2"/>
    </font>
    <font>
      <sz val="10"/>
      <color indexed="23"/>
      <name val="Arial"/>
      <family val="2"/>
    </font>
    <font>
      <sz val="8"/>
      <name val="Arial"/>
      <family val="2"/>
    </font>
    <font>
      <sz val="10"/>
      <name val="Verdana"/>
      <family val="2"/>
    </font>
    <font>
      <sz val="10"/>
      <name val="Arial"/>
      <family val="2"/>
    </font>
    <font>
      <b/>
      <sz val="20"/>
      <color indexed="9"/>
      <name val="Arial"/>
      <family val="2"/>
    </font>
    <font>
      <b/>
      <sz val="13"/>
      <color theme="0"/>
      <name val="Arial"/>
      <family val="2"/>
    </font>
    <font>
      <b/>
      <sz val="20"/>
      <color rgb="FF404041"/>
      <name val="Arial"/>
      <family val="2"/>
    </font>
    <font>
      <sz val="12"/>
      <color rgb="FF404141"/>
      <name val="Arial"/>
      <family val="2"/>
    </font>
    <font>
      <b/>
      <sz val="14"/>
      <color theme="0"/>
      <name val="Arial"/>
      <family val="2"/>
    </font>
    <font>
      <b/>
      <sz val="13"/>
      <color rgb="FF378786"/>
      <name val="Arial"/>
      <family val="2"/>
    </font>
    <font>
      <sz val="12"/>
      <color theme="1" tint="0.249977111117893"/>
      <name val="Arial"/>
      <family val="2"/>
    </font>
    <font>
      <sz val="20"/>
      <color theme="2" tint="-0.749992370372631"/>
      <name val="Arial"/>
      <family val="2"/>
    </font>
    <font>
      <sz val="10"/>
      <color theme="1" tint="0.34998626667073579"/>
      <name val="Arial"/>
      <family val="2"/>
    </font>
    <font>
      <sz val="8"/>
      <color indexed="23"/>
      <name val="Arial"/>
      <family val="2"/>
    </font>
    <font>
      <sz val="16"/>
      <color theme="9" tint="-0.499984740745262"/>
      <name val="Arial"/>
      <family val="2"/>
    </font>
    <font>
      <sz val="8"/>
      <color indexed="63"/>
      <name val="Arial"/>
      <family val="2"/>
    </font>
    <font>
      <sz val="26"/>
      <color rgb="FF404141"/>
      <name val="Arial"/>
      <family val="2"/>
    </font>
    <font>
      <b/>
      <sz val="13"/>
      <color rgb="FF404141"/>
      <name val="Arial"/>
      <family val="2"/>
    </font>
    <font>
      <b/>
      <sz val="26"/>
      <color rgb="FF404141"/>
      <name val="Arial"/>
      <family val="2"/>
    </font>
    <font>
      <sz val="10"/>
      <color theme="0"/>
      <name val="Arial"/>
      <family val="2"/>
    </font>
    <font>
      <b/>
      <sz val="14"/>
      <color rgb="FF404141"/>
      <name val="Arial"/>
      <family val="2"/>
    </font>
    <font>
      <b/>
      <sz val="12"/>
      <color rgb="FF378786"/>
      <name val="Arial"/>
      <family val="2"/>
    </font>
    <font>
      <sz val="12"/>
      <color rgb="FF404041"/>
      <name val="Arial"/>
      <family val="2"/>
    </font>
    <font>
      <sz val="10"/>
      <color rgb="FF404141"/>
      <name val="Arial"/>
      <family val="2"/>
    </font>
    <font>
      <sz val="10"/>
      <color indexed="63"/>
      <name val="Arial"/>
      <family val="2"/>
    </font>
    <font>
      <b/>
      <sz val="16"/>
      <color rgb="FF404141"/>
      <name val="Arial"/>
      <family val="2"/>
    </font>
    <font>
      <sz val="16"/>
      <color rgb="FF404041"/>
      <name val="Arial"/>
      <family val="2"/>
    </font>
    <font>
      <b/>
      <sz val="10"/>
      <color rgb="FF404141"/>
      <name val="Arial"/>
      <family val="2"/>
    </font>
    <font>
      <b/>
      <sz val="14"/>
      <color rgb="FF378786"/>
      <name val="Arial"/>
      <family val="2"/>
    </font>
    <font>
      <sz val="9"/>
      <color indexed="63"/>
      <name val="Arial"/>
      <family val="2"/>
    </font>
    <font>
      <sz val="18"/>
      <color theme="0"/>
      <name val="Arial"/>
      <family val="2"/>
    </font>
    <font>
      <sz val="9"/>
      <color theme="0"/>
      <name val="Arial"/>
      <family val="2"/>
    </font>
    <font>
      <sz val="9"/>
      <color theme="2" tint="-0.749992370372631"/>
      <name val="Arial"/>
      <family val="2"/>
    </font>
    <font>
      <u/>
      <sz val="10"/>
      <color indexed="12"/>
      <name val="Arial"/>
      <family val="2"/>
      <charset val="204"/>
    </font>
    <font>
      <b/>
      <u/>
      <sz val="12"/>
      <color rgb="FF669D50"/>
      <name val="Arial"/>
      <family val="2"/>
    </font>
    <font>
      <sz val="8"/>
      <color rgb="FF404141"/>
      <name val="Arial"/>
      <family val="2"/>
    </font>
    <font>
      <b/>
      <sz val="20"/>
      <color rgb="FF404141"/>
      <name val="Arial"/>
      <family val="2"/>
    </font>
    <font>
      <sz val="10"/>
      <color theme="1" tint="0.249977111117893"/>
      <name val="Arial"/>
      <family val="2"/>
    </font>
  </fonts>
  <fills count="9">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7"/>
        <bgColor indexed="64"/>
      </patternFill>
    </fill>
    <fill>
      <patternFill patternType="solid">
        <fgColor rgb="FFC00000"/>
        <bgColor indexed="64"/>
      </patternFill>
    </fill>
    <fill>
      <gradientFill degree="90">
        <stop position="0">
          <color rgb="FF1B5569"/>
        </stop>
        <stop position="1">
          <color rgb="FF378786"/>
        </stop>
      </gradient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style="thin">
        <color theme="2"/>
      </left>
      <right style="thin">
        <color theme="2"/>
      </right>
      <top style="thin">
        <color theme="2"/>
      </top>
      <bottom style="thin">
        <color theme="2"/>
      </bottom>
      <diagonal/>
    </border>
    <border>
      <left/>
      <right style="thin">
        <color theme="0"/>
      </right>
      <top style="thin">
        <color theme="0"/>
      </top>
      <bottom/>
      <diagonal/>
    </border>
    <border>
      <left/>
      <right/>
      <top/>
      <bottom style="thin">
        <color theme="0" tint="-4.9989318521683403E-2"/>
      </bottom>
      <diagonal/>
    </border>
    <border>
      <left style="thin">
        <color theme="0" tint="-4.9989318521683403E-2"/>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bottom>
      <diagonal/>
    </border>
    <border>
      <left style="thin">
        <color theme="0" tint="-4.9989318521683403E-2"/>
      </left>
      <right style="thin">
        <color theme="0" tint="-4.9989318521683403E-2"/>
      </right>
      <top style="thin">
        <color theme="0"/>
      </top>
      <bottom style="thin">
        <color theme="0" tint="-4.9989318521683403E-2"/>
      </bottom>
      <diagonal/>
    </border>
    <border>
      <left style="thin">
        <color theme="0" tint="-4.9989318521683403E-2"/>
      </left>
      <right/>
      <top/>
      <bottom style="thin">
        <color theme="0" tint="-4.9989318521683403E-2"/>
      </bottom>
      <diagonal/>
    </border>
    <border>
      <left style="thin">
        <color theme="0" tint="-4.9989318521683403E-2"/>
      </left>
      <right style="thin">
        <color theme="0"/>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op>
      <bottom style="thin">
        <color theme="0"/>
      </bottom>
      <diagonal/>
    </border>
    <border>
      <left/>
      <right/>
      <top style="thin">
        <color theme="0" tint="-4.9989318521683403E-2"/>
      </top>
      <bottom/>
      <diagonal/>
    </border>
  </borders>
  <cellStyleXfs count="15">
    <xf numFmtId="0" fontId="0" fillId="0" borderId="0"/>
    <xf numFmtId="0" fontId="7" fillId="5" borderId="2">
      <alignment horizontal="center" vertical="center"/>
      <protection locked="0"/>
    </xf>
    <xf numFmtId="44" fontId="5" fillId="0" borderId="0" applyFont="0" applyFill="0" applyBorder="0" applyAlignment="0" applyProtection="0"/>
    <xf numFmtId="0" fontId="8" fillId="0" borderId="3">
      <alignment horizontal="right" vertical="center"/>
    </xf>
    <xf numFmtId="0" fontId="9" fillId="2" borderId="4">
      <alignment horizontal="left" vertical="center" wrapText="1" indent="1"/>
      <protection locked="0"/>
    </xf>
    <xf numFmtId="0" fontId="14" fillId="2" borderId="1">
      <alignment horizontal="left" vertical="center" indent="1"/>
      <protection locked="0"/>
    </xf>
    <xf numFmtId="0" fontId="5" fillId="0" borderId="0"/>
    <xf numFmtId="0" fontId="4" fillId="0" borderId="0"/>
    <xf numFmtId="9" fontId="5" fillId="0" borderId="0" applyFont="0" applyFill="0" applyBorder="0" applyAlignment="0" applyProtection="0"/>
    <xf numFmtId="0" fontId="10" fillId="6" borderId="5">
      <alignment horizontal="left" vertical="center" indent="1"/>
      <protection locked="0"/>
    </xf>
    <xf numFmtId="0" fontId="6" fillId="3" borderId="6" applyBorder="0">
      <alignment horizontal="center" vertical="center"/>
      <protection locked="0"/>
    </xf>
    <xf numFmtId="0" fontId="11" fillId="2" borderId="5">
      <alignment horizontal="left" vertical="center" wrapText="1"/>
      <protection locked="0"/>
    </xf>
    <xf numFmtId="0" fontId="12" fillId="2" borderId="6" applyBorder="0">
      <alignment horizontal="left" vertical="center" wrapText="1"/>
      <protection locked="0"/>
    </xf>
    <xf numFmtId="0" fontId="10" fillId="6" borderId="0">
      <alignment horizontal="left" vertical="center"/>
      <protection locked="0"/>
    </xf>
    <xf numFmtId="0" fontId="35" fillId="0" borderId="0" applyNumberFormat="0" applyFill="0" applyBorder="0" applyAlignment="0" applyProtection="0">
      <alignment vertical="top"/>
      <protection locked="0"/>
    </xf>
  </cellStyleXfs>
  <cellXfs count="80">
    <xf numFmtId="0" fontId="0" fillId="0" borderId="0" xfId="0"/>
    <xf numFmtId="0" fontId="1" fillId="2" borderId="0" xfId="0" applyFont="1" applyFill="1" applyBorder="1" applyProtection="1">
      <protection locked="0"/>
    </xf>
    <xf numFmtId="0" fontId="8" fillId="0" borderId="0" xfId="3" applyBorder="1" applyAlignment="1">
      <alignment horizontal="right" vertical="center"/>
    </xf>
    <xf numFmtId="0" fontId="2" fillId="0" borderId="0" xfId="0" applyFont="1"/>
    <xf numFmtId="0" fontId="15" fillId="0" borderId="0" xfId="0" applyFont="1"/>
    <xf numFmtId="0" fontId="16" fillId="0" borderId="0" xfId="0" applyFont="1"/>
    <xf numFmtId="9" fontId="15" fillId="0" borderId="0" xfId="0" applyNumberFormat="1" applyFont="1" applyBorder="1" applyAlignment="1">
      <alignment horizontal="center"/>
    </xf>
    <xf numFmtId="0" fontId="5" fillId="0" borderId="0" xfId="0" applyFont="1"/>
    <xf numFmtId="0" fontId="2" fillId="0" borderId="0" xfId="0" applyFont="1" applyAlignment="1">
      <alignment vertical="center"/>
    </xf>
    <xf numFmtId="0" fontId="17" fillId="0" borderId="0" xfId="0" applyFont="1"/>
    <xf numFmtId="0" fontId="19" fillId="2" borderId="5" xfId="11" applyFont="1" applyBorder="1" applyAlignment="1">
      <alignment horizontal="center" vertical="center" wrapText="1"/>
      <protection locked="0"/>
    </xf>
    <xf numFmtId="9" fontId="13" fillId="0" borderId="5" xfId="0" applyNumberFormat="1" applyFont="1" applyBorder="1" applyAlignment="1">
      <alignment horizontal="center" vertical="center"/>
    </xf>
    <xf numFmtId="0" fontId="12" fillId="2" borderId="7" xfId="12" applyBorder="1" applyAlignment="1">
      <alignment horizontal="left" vertical="center" wrapText="1" indent="1"/>
      <protection locked="0"/>
    </xf>
    <xf numFmtId="0" fontId="12" fillId="2" borderId="8" xfId="12" applyBorder="1" applyAlignment="1">
      <alignment horizontal="left" vertical="center" wrapText="1" indent="1"/>
      <protection locked="0"/>
    </xf>
    <xf numFmtId="0" fontId="12" fillId="2" borderId="9" xfId="12" applyBorder="1" applyAlignment="1">
      <alignment horizontal="left" vertical="center" wrapText="1" indent="1"/>
      <protection locked="0"/>
    </xf>
    <xf numFmtId="0" fontId="18" fillId="8" borderId="10" xfId="0" applyFont="1" applyFill="1" applyBorder="1" applyAlignment="1">
      <alignment horizontal="center" vertical="center" wrapText="1"/>
    </xf>
    <xf numFmtId="9" fontId="20" fillId="8" borderId="11" xfId="0" applyNumberFormat="1" applyFont="1" applyFill="1" applyBorder="1" applyAlignment="1">
      <alignment horizontal="center" vertical="center"/>
    </xf>
    <xf numFmtId="0" fontId="23" fillId="2" borderId="5" xfId="0" applyFont="1" applyFill="1" applyBorder="1" applyAlignment="1" applyProtection="1">
      <alignment horizontal="left" vertical="center" indent="1"/>
      <protection locked="0"/>
    </xf>
    <xf numFmtId="0" fontId="24" fillId="2" borderId="8" xfId="0" applyFont="1" applyFill="1" applyBorder="1" applyAlignment="1" applyProtection="1">
      <alignment horizontal="left" vertical="center" indent="1"/>
      <protection locked="0"/>
    </xf>
    <xf numFmtId="0" fontId="24" fillId="2" borderId="9" xfId="0" applyFont="1" applyFill="1" applyBorder="1" applyAlignment="1" applyProtection="1">
      <alignment horizontal="left" vertical="center" indent="1"/>
      <protection locked="0"/>
    </xf>
    <xf numFmtId="0" fontId="17" fillId="0" borderId="0" xfId="7" applyFont="1" applyFill="1"/>
    <xf numFmtId="0" fontId="2" fillId="0" borderId="0" xfId="7" applyFont="1" applyFill="1"/>
    <xf numFmtId="0" fontId="2" fillId="0" borderId="0" xfId="7" applyFont="1"/>
    <xf numFmtId="0" fontId="6" fillId="3" borderId="5" xfId="0" applyFont="1" applyFill="1" applyBorder="1" applyAlignment="1" applyProtection="1">
      <alignment horizontal="center" vertical="center"/>
      <protection locked="0"/>
    </xf>
    <xf numFmtId="0" fontId="2" fillId="2" borderId="0" xfId="0" applyFont="1" applyFill="1" applyBorder="1" applyProtection="1">
      <protection locked="0"/>
    </xf>
    <xf numFmtId="0" fontId="2" fillId="2" borderId="0" xfId="0" applyFont="1" applyFill="1" applyBorder="1" applyAlignment="1" applyProtection="1">
      <alignment horizontal="left"/>
      <protection locked="0"/>
    </xf>
    <xf numFmtId="0" fontId="11" fillId="2" borderId="5" xfId="11" applyFont="1" applyBorder="1" applyAlignment="1">
      <alignment horizontal="left" vertical="center" wrapText="1" indent="1"/>
      <protection locked="0"/>
    </xf>
    <xf numFmtId="0" fontId="11" fillId="2" borderId="5" xfId="11" applyFont="1" applyBorder="1" applyAlignment="1">
      <alignment horizontal="center" vertical="center" wrapText="1"/>
      <protection locked="0"/>
    </xf>
    <xf numFmtId="0" fontId="9" fillId="2" borderId="5" xfId="12" applyFont="1" applyBorder="1" applyAlignment="1">
      <alignment horizontal="left" vertical="center" wrapText="1" indent="1"/>
      <protection locked="0"/>
    </xf>
    <xf numFmtId="0" fontId="25" fillId="2" borderId="5" xfId="0" applyFont="1" applyFill="1" applyBorder="1" applyAlignment="1" applyProtection="1">
      <alignment horizontal="left" vertical="center" wrapText="1" indent="2"/>
      <protection locked="0"/>
    </xf>
    <xf numFmtId="0" fontId="26" fillId="0" borderId="0" xfId="0" applyFont="1"/>
    <xf numFmtId="0" fontId="6" fillId="3" borderId="5" xfId="10" applyFont="1" applyBorder="1" applyProtection="1">
      <alignment horizontal="center" vertical="center"/>
    </xf>
    <xf numFmtId="0" fontId="10" fillId="6" borderId="5" xfId="13" applyFont="1" applyBorder="1" applyAlignment="1">
      <alignment horizontal="center" vertical="center"/>
      <protection locked="0"/>
    </xf>
    <xf numFmtId="0" fontId="10" fillId="6" borderId="5" xfId="13" applyFont="1" applyBorder="1" applyAlignment="1">
      <alignment horizontal="left" vertical="center" indent="1"/>
      <protection locked="0"/>
    </xf>
    <xf numFmtId="0" fontId="12" fillId="2" borderId="5" xfId="12" applyFont="1" applyBorder="1" applyAlignment="1" applyProtection="1">
      <alignment horizontal="left" vertical="center" wrapText="1" indent="1"/>
    </xf>
    <xf numFmtId="0" fontId="22" fillId="8" borderId="13" xfId="0" applyFont="1" applyFill="1" applyBorder="1" applyAlignment="1">
      <alignment horizontal="left" vertical="center" indent="1"/>
    </xf>
    <xf numFmtId="0" fontId="6" fillId="3" borderId="7" xfId="10" applyFont="1" applyBorder="1" applyProtection="1">
      <alignment horizontal="center" vertical="center"/>
    </xf>
    <xf numFmtId="164" fontId="6" fillId="3" borderId="7" xfId="10" applyNumberFormat="1" applyFont="1" applyBorder="1" applyProtection="1">
      <alignment horizontal="center" vertical="center"/>
    </xf>
    <xf numFmtId="9" fontId="27" fillId="8" borderId="11" xfId="0" applyNumberFormat="1" applyFont="1" applyFill="1" applyBorder="1" applyAlignment="1">
      <alignment horizontal="center" vertical="center"/>
    </xf>
    <xf numFmtId="9" fontId="28" fillId="8" borderId="14" xfId="8" applyFont="1" applyFill="1" applyBorder="1" applyAlignment="1">
      <alignment horizontal="center" vertical="center" wrapText="1"/>
    </xf>
    <xf numFmtId="0" fontId="30" fillId="7" borderId="5" xfId="0" applyFont="1" applyFill="1" applyBorder="1" applyAlignment="1" applyProtection="1">
      <alignment horizontal="center" vertical="center"/>
      <protection locked="0"/>
    </xf>
    <xf numFmtId="0" fontId="31" fillId="2" borderId="0" xfId="0" applyFont="1" applyFill="1"/>
    <xf numFmtId="0" fontId="32" fillId="2" borderId="0" xfId="0" applyFont="1" applyFill="1"/>
    <xf numFmtId="0" fontId="33" fillId="2" borderId="0" xfId="0" applyFont="1" applyFill="1"/>
    <xf numFmtId="0" fontId="21" fillId="2" borderId="0" xfId="0" applyFont="1" applyFill="1" applyBorder="1" applyAlignment="1">
      <alignment horizontal="left" indent="1"/>
    </xf>
    <xf numFmtId="0" fontId="33" fillId="2" borderId="0" xfId="0" applyFont="1" applyFill="1" applyBorder="1" applyAlignment="1">
      <alignment horizontal="left"/>
    </xf>
    <xf numFmtId="0" fontId="33" fillId="2" borderId="0" xfId="0" applyFont="1" applyFill="1" applyAlignment="1">
      <alignment horizontal="left"/>
    </xf>
    <xf numFmtId="0" fontId="34" fillId="2" borderId="0" xfId="0" applyFont="1" applyFill="1"/>
    <xf numFmtId="0" fontId="36" fillId="2" borderId="5" xfId="14" applyFont="1" applyFill="1" applyBorder="1" applyAlignment="1" applyProtection="1">
      <alignment horizontal="center" vertical="center"/>
    </xf>
    <xf numFmtId="0" fontId="9" fillId="2" borderId="0" xfId="4" applyFont="1" applyBorder="1" applyAlignment="1">
      <alignment vertical="center" wrapText="1"/>
      <protection locked="0"/>
    </xf>
    <xf numFmtId="0" fontId="37" fillId="0" borderId="0" xfId="7" applyFont="1" applyFill="1" applyBorder="1" applyAlignment="1">
      <alignment vertical="center"/>
    </xf>
    <xf numFmtId="0" fontId="25" fillId="0" borderId="0" xfId="7" applyFont="1" applyBorder="1" applyAlignment="1">
      <alignment vertical="center"/>
    </xf>
    <xf numFmtId="0" fontId="22" fillId="0" borderId="0" xfId="0" applyFont="1" applyBorder="1" applyAlignment="1">
      <alignment horizontal="justify" vertical="top"/>
    </xf>
    <xf numFmtId="0" fontId="37" fillId="0" borderId="0" xfId="7" applyFont="1" applyFill="1" applyBorder="1"/>
    <xf numFmtId="0" fontId="25" fillId="0" borderId="0" xfId="7" applyFont="1" applyBorder="1"/>
    <xf numFmtId="0" fontId="9" fillId="2" borderId="0" xfId="12" applyFont="1" applyBorder="1">
      <alignment horizontal="left" vertical="center" wrapText="1"/>
      <protection locked="0"/>
    </xf>
    <xf numFmtId="0" fontId="9" fillId="0" borderId="0" xfId="0" applyFont="1" applyBorder="1" applyAlignment="1">
      <alignment vertical="center" wrapText="1"/>
    </xf>
    <xf numFmtId="0" fontId="37" fillId="0" borderId="0" xfId="7" applyFont="1" applyBorder="1"/>
    <xf numFmtId="0" fontId="9" fillId="0" borderId="0" xfId="7" applyFont="1" applyBorder="1" applyAlignment="1">
      <alignment vertical="center" wrapText="1"/>
    </xf>
    <xf numFmtId="0" fontId="9" fillId="0" borderId="0" xfId="0" applyFont="1" applyBorder="1"/>
    <xf numFmtId="0" fontId="9" fillId="0" borderId="0" xfId="7" applyFont="1" applyBorder="1"/>
    <xf numFmtId="0" fontId="38" fillId="0" borderId="0" xfId="7" applyFont="1" applyFill="1" applyBorder="1" applyAlignment="1">
      <alignment horizontal="right" vertical="center"/>
    </xf>
    <xf numFmtId="0" fontId="38" fillId="0" borderId="0" xfId="7" applyFont="1" applyFill="1" applyBorder="1" applyAlignment="1">
      <alignment vertical="center"/>
    </xf>
    <xf numFmtId="0" fontId="2" fillId="0" borderId="0" xfId="7" applyFont="1" applyBorder="1"/>
    <xf numFmtId="0" fontId="26" fillId="0" borderId="0" xfId="0" applyFont="1" applyBorder="1"/>
    <xf numFmtId="0" fontId="12" fillId="2" borderId="5" xfId="0" applyFont="1" applyFill="1" applyBorder="1" applyAlignment="1">
      <alignment horizontal="left" vertical="center" wrapText="1" indent="1"/>
    </xf>
    <xf numFmtId="1" fontId="6" fillId="4" borderId="5" xfId="0" applyNumberFormat="1" applyFont="1" applyFill="1" applyBorder="1" applyAlignment="1">
      <alignment horizontal="center" vertical="center" wrapText="1"/>
    </xf>
    <xf numFmtId="0" fontId="25" fillId="0" borderId="0" xfId="7" applyFont="1" applyFill="1" applyBorder="1" applyAlignment="1">
      <alignment horizontal="left" vertical="center" indent="1"/>
    </xf>
    <xf numFmtId="0" fontId="8" fillId="0" borderId="0" xfId="3" applyBorder="1">
      <alignment horizontal="right" vertical="center"/>
    </xf>
    <xf numFmtId="0" fontId="10" fillId="6" borderId="12" xfId="13" applyBorder="1" applyAlignment="1">
      <alignment horizontal="left" vertical="center" indent="1"/>
      <protection locked="0"/>
    </xf>
    <xf numFmtId="0" fontId="10" fillId="6" borderId="3" xfId="13" applyBorder="1" applyAlignment="1">
      <alignment horizontal="left" vertical="center" indent="1"/>
      <protection locked="0"/>
    </xf>
    <xf numFmtId="0" fontId="8" fillId="0" borderId="3" xfId="3" applyBorder="1" applyAlignment="1">
      <alignment horizontal="right" vertical="center"/>
    </xf>
    <xf numFmtId="0" fontId="17" fillId="0" borderId="0" xfId="0" applyFont="1" applyAlignment="1">
      <alignment horizontal="left" vertical="center"/>
    </xf>
    <xf numFmtId="0" fontId="10" fillId="6" borderId="5" xfId="13" applyFont="1" applyBorder="1" applyAlignment="1">
      <alignment horizontal="left" vertical="center" indent="1"/>
      <protection locked="0"/>
    </xf>
    <xf numFmtId="0" fontId="26" fillId="0" borderId="5" xfId="0" applyFont="1" applyBorder="1" applyAlignment="1">
      <alignment horizontal="center"/>
    </xf>
    <xf numFmtId="0" fontId="8" fillId="0" borderId="0" xfId="3" applyBorder="1" applyAlignment="1">
      <alignment horizontal="right" vertical="center"/>
    </xf>
    <xf numFmtId="0" fontId="21" fillId="0" borderId="0" xfId="0" applyFont="1" applyAlignment="1">
      <alignment horizontal="left" wrapText="1" indent="1"/>
    </xf>
    <xf numFmtId="0" fontId="10" fillId="6" borderId="6" xfId="13" applyFont="1" applyBorder="1" applyAlignment="1">
      <alignment horizontal="left" vertical="center" indent="1"/>
      <protection locked="0"/>
    </xf>
    <xf numFmtId="0" fontId="10" fillId="6" borderId="15" xfId="13" applyFont="1" applyBorder="1" applyAlignment="1">
      <alignment horizontal="left" vertical="center" indent="1"/>
      <protection locked="0"/>
    </xf>
    <xf numFmtId="0" fontId="39" fillId="2" borderId="0" xfId="12" applyFont="1" applyBorder="1" applyAlignment="1">
      <alignment horizontal="left" vertical="center" wrapText="1" indent="1"/>
      <protection locked="0"/>
    </xf>
  </cellXfs>
  <cellStyles count="15">
    <cellStyle name="color number" xfId="1" xr:uid="{00000000-0005-0000-0000-000000000000}"/>
    <cellStyle name="Currency 2" xfId="2" xr:uid="{00000000-0005-0000-0000-000001000000}"/>
    <cellStyle name="header" xfId="3" xr:uid="{00000000-0005-0000-0000-000002000000}"/>
    <cellStyle name="Hyperlink" xfId="14" builtinId="8"/>
    <cellStyle name="instructions" xfId="4" xr:uid="{00000000-0005-0000-0000-000003000000}"/>
    <cellStyle name="level style" xfId="5" xr:uid="{00000000-0005-0000-0000-000004000000}"/>
    <cellStyle name="Normal" xfId="0" builtinId="0"/>
    <cellStyle name="Normal 2" xfId="6" xr:uid="{00000000-0005-0000-0000-000006000000}"/>
    <cellStyle name="Normal 3" xfId="7" xr:uid="{00000000-0005-0000-0000-000007000000}"/>
    <cellStyle name="Percent 2" xfId="8" xr:uid="{00000000-0005-0000-0000-000008000000}"/>
    <cellStyle name="results title" xfId="9" xr:uid="{00000000-0005-0000-0000-000009000000}"/>
    <cellStyle name="score" xfId="10" xr:uid="{00000000-0005-0000-0000-00000A000000}"/>
    <cellStyle name="subtitle" xfId="11" xr:uid="{00000000-0005-0000-0000-00000B000000}"/>
    <cellStyle name="text description" xfId="12" xr:uid="{00000000-0005-0000-0000-00000C000000}"/>
    <cellStyle name="title bar" xfId="13" xr:uid="{00000000-0005-0000-0000-00000D000000}"/>
  </cellStyles>
  <dxfs count="63">
    <dxf>
      <fill>
        <patternFill patternType="solid">
          <fgColor indexed="64"/>
          <bgColor rgb="FF75AF5B"/>
        </patternFill>
      </fill>
    </dxf>
    <dxf>
      <fill>
        <patternFill>
          <bgColor rgb="FFF9B54C"/>
        </patternFill>
      </fill>
    </dxf>
    <dxf>
      <fill>
        <patternFill>
          <bgColor rgb="FFCF363F"/>
        </patternFill>
      </fill>
    </dxf>
    <dxf>
      <fill>
        <patternFill patternType="solid">
          <fgColor indexed="64"/>
          <bgColor rgb="FF66831F"/>
        </patternFill>
      </fill>
    </dxf>
    <dxf>
      <fill>
        <patternFill>
          <bgColor rgb="FFFBAF00"/>
        </patternFill>
      </fill>
    </dxf>
    <dxf>
      <fill>
        <patternFill>
          <bgColor rgb="FF800000"/>
        </patternFill>
      </fill>
    </dxf>
    <dxf>
      <font>
        <color theme="0"/>
      </font>
    </dxf>
    <dxf>
      <fill>
        <patternFill patternType="solid">
          <fgColor indexed="64"/>
          <bgColor rgb="FF75AF5B"/>
        </patternFill>
      </fill>
    </dxf>
    <dxf>
      <fill>
        <patternFill>
          <bgColor rgb="FFF9B54C"/>
        </patternFill>
      </fill>
    </dxf>
    <dxf>
      <fill>
        <patternFill>
          <bgColor rgb="FFCF363F"/>
        </patternFill>
      </fill>
    </dxf>
    <dxf>
      <fill>
        <patternFill patternType="solid">
          <fgColor indexed="64"/>
          <bgColor rgb="FF66831F"/>
        </patternFill>
      </fill>
    </dxf>
    <dxf>
      <fill>
        <patternFill>
          <bgColor rgb="FFFBAF00"/>
        </patternFill>
      </fill>
    </dxf>
    <dxf>
      <fill>
        <patternFill>
          <bgColor rgb="FF800000"/>
        </patternFill>
      </fill>
    </dxf>
    <dxf>
      <font>
        <color theme="0"/>
      </font>
    </dxf>
    <dxf>
      <fill>
        <patternFill patternType="solid">
          <fgColor indexed="64"/>
          <bgColor rgb="FF75AF5B"/>
        </patternFill>
      </fill>
    </dxf>
    <dxf>
      <fill>
        <patternFill>
          <bgColor rgb="FFF9B54C"/>
        </patternFill>
      </fill>
    </dxf>
    <dxf>
      <fill>
        <patternFill>
          <bgColor rgb="FFCF363F"/>
        </patternFill>
      </fill>
    </dxf>
    <dxf>
      <fill>
        <patternFill patternType="solid">
          <fgColor indexed="64"/>
          <bgColor rgb="FF66831F"/>
        </patternFill>
      </fill>
    </dxf>
    <dxf>
      <fill>
        <patternFill>
          <bgColor rgb="FFFBAF00"/>
        </patternFill>
      </fill>
    </dxf>
    <dxf>
      <fill>
        <patternFill>
          <bgColor rgb="FF800000"/>
        </patternFill>
      </fill>
    </dxf>
    <dxf>
      <font>
        <color theme="0"/>
      </font>
    </dxf>
    <dxf>
      <fill>
        <patternFill patternType="solid">
          <fgColor indexed="64"/>
          <bgColor rgb="FF75AF5B"/>
        </patternFill>
      </fill>
    </dxf>
    <dxf>
      <fill>
        <patternFill>
          <bgColor rgb="FFF9B54C"/>
        </patternFill>
      </fill>
    </dxf>
    <dxf>
      <fill>
        <patternFill>
          <bgColor rgb="FFCF363F"/>
        </patternFill>
      </fill>
    </dxf>
    <dxf>
      <fill>
        <patternFill patternType="solid">
          <fgColor indexed="64"/>
          <bgColor rgb="FF66831F"/>
        </patternFill>
      </fill>
    </dxf>
    <dxf>
      <fill>
        <patternFill>
          <bgColor rgb="FFFBAF00"/>
        </patternFill>
      </fill>
    </dxf>
    <dxf>
      <fill>
        <patternFill>
          <bgColor rgb="FF800000"/>
        </patternFill>
      </fill>
    </dxf>
    <dxf>
      <font>
        <color theme="0"/>
      </font>
    </dxf>
    <dxf>
      <font>
        <color theme="0"/>
      </font>
      <fill>
        <patternFill>
          <bgColor rgb="FFCF363F"/>
        </patternFill>
      </fill>
    </dxf>
    <dxf>
      <fill>
        <patternFill patternType="solid">
          <fgColor indexed="64"/>
          <bgColor rgb="FF75AF5B"/>
        </patternFill>
      </fill>
    </dxf>
    <dxf>
      <fill>
        <patternFill>
          <bgColor rgb="FFF9B54C"/>
        </patternFill>
      </fill>
    </dxf>
    <dxf>
      <fill>
        <patternFill patternType="solid">
          <fgColor indexed="64"/>
          <bgColor rgb="FFCF363F"/>
        </patternFill>
      </fill>
    </dxf>
    <dxf>
      <fill>
        <patternFill patternType="solid">
          <fgColor indexed="64"/>
          <bgColor rgb="FF75AF5B"/>
        </patternFill>
      </fill>
    </dxf>
    <dxf>
      <fill>
        <patternFill>
          <bgColor rgb="FFF9B54C"/>
        </patternFill>
      </fill>
    </dxf>
    <dxf>
      <fill>
        <patternFill patternType="solid">
          <fgColor indexed="64"/>
          <bgColor rgb="FFCF363F"/>
        </patternFill>
      </fill>
    </dxf>
    <dxf>
      <fill>
        <patternFill patternType="solid">
          <fgColor indexed="64"/>
          <bgColor rgb="FF75AF5B"/>
        </patternFill>
      </fill>
    </dxf>
    <dxf>
      <fill>
        <patternFill>
          <bgColor rgb="FFF9B54C"/>
        </patternFill>
      </fill>
    </dxf>
    <dxf>
      <fill>
        <patternFill>
          <bgColor rgb="FFCF363F"/>
        </patternFill>
      </fill>
    </dxf>
    <dxf>
      <fill>
        <patternFill>
          <bgColor rgb="FFF9B54C"/>
        </patternFill>
      </fill>
    </dxf>
    <dxf>
      <fill>
        <patternFill patternType="solid">
          <fgColor indexed="64"/>
          <bgColor rgb="FF75AF5B"/>
        </patternFill>
      </fill>
    </dxf>
    <dxf>
      <fill>
        <patternFill patternType="solid">
          <fgColor indexed="64"/>
          <bgColor rgb="FFC00000"/>
        </patternFill>
      </fill>
    </dxf>
    <dxf>
      <fill>
        <patternFill patternType="solid">
          <fgColor indexed="64"/>
          <bgColor rgb="FF75AF5B"/>
        </patternFill>
      </fill>
    </dxf>
    <dxf>
      <fill>
        <patternFill>
          <bgColor rgb="FFF9B54C"/>
        </patternFill>
      </fill>
    </dxf>
    <dxf>
      <fill>
        <patternFill>
          <bgColor rgb="FFCF363F"/>
        </patternFill>
      </fill>
    </dxf>
    <dxf>
      <fill>
        <patternFill>
          <bgColor rgb="FFF9B54C"/>
        </patternFill>
      </fill>
    </dxf>
    <dxf>
      <fill>
        <patternFill patternType="solid">
          <fgColor indexed="64"/>
          <bgColor rgb="FF75AF5B"/>
        </patternFill>
      </fill>
    </dxf>
    <dxf>
      <fill>
        <patternFill patternType="solid">
          <fgColor indexed="64"/>
          <bgColor rgb="FFC00000"/>
        </patternFill>
      </fill>
    </dxf>
    <dxf>
      <fill>
        <patternFill>
          <bgColor rgb="FFF9B54C"/>
        </patternFill>
      </fill>
    </dxf>
    <dxf>
      <fill>
        <patternFill patternType="solid">
          <fgColor indexed="64"/>
          <bgColor rgb="FF75AF5B"/>
        </patternFill>
      </fill>
    </dxf>
    <dxf>
      <fill>
        <patternFill patternType="solid">
          <fgColor indexed="64"/>
          <bgColor rgb="FFC00000"/>
        </patternFill>
      </fill>
    </dxf>
    <dxf>
      <fill>
        <patternFill patternType="solid">
          <fgColor indexed="64"/>
          <bgColor rgb="FF75AF5B"/>
        </patternFill>
      </fill>
    </dxf>
    <dxf>
      <fill>
        <patternFill>
          <bgColor rgb="FFF9B54C"/>
        </patternFill>
      </fill>
    </dxf>
    <dxf>
      <fill>
        <patternFill>
          <bgColor rgb="FFCF363F"/>
        </patternFill>
      </fill>
    </dxf>
    <dxf>
      <fill>
        <patternFill>
          <bgColor rgb="FFF9B54C"/>
        </patternFill>
      </fill>
    </dxf>
    <dxf>
      <fill>
        <patternFill patternType="solid">
          <fgColor indexed="64"/>
          <bgColor rgb="FF75AF5B"/>
        </patternFill>
      </fill>
    </dxf>
    <dxf>
      <fill>
        <patternFill patternType="solid">
          <fgColor indexed="64"/>
          <bgColor rgb="FFC00000"/>
        </patternFill>
      </fill>
    </dxf>
    <dxf>
      <fill>
        <patternFill patternType="solid">
          <fgColor indexed="64"/>
          <bgColor rgb="FF75AF5B"/>
        </patternFill>
      </fill>
    </dxf>
    <dxf>
      <fill>
        <patternFill>
          <bgColor rgb="FFF9B54C"/>
        </patternFill>
      </fill>
    </dxf>
    <dxf>
      <fill>
        <patternFill>
          <bgColor rgb="FFCF363F"/>
        </patternFill>
      </fill>
    </dxf>
    <dxf>
      <fill>
        <patternFill>
          <bgColor rgb="FFF9B54C"/>
        </patternFill>
      </fill>
    </dxf>
    <dxf>
      <fill>
        <patternFill patternType="solid">
          <fgColor indexed="64"/>
          <bgColor rgb="FF75AF5B"/>
        </patternFill>
      </fill>
    </dxf>
    <dxf>
      <fill>
        <patternFill patternType="solid">
          <fgColor indexed="64"/>
          <bgColor rgb="FFC00000"/>
        </patternFill>
      </fill>
    </dxf>
    <dxf>
      <font>
        <color theme="0"/>
      </font>
      <fill>
        <patternFill>
          <bgColor rgb="FFCF363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FFC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0D1A1"/>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141"/>
      <color rgb="FF75AF5B"/>
      <color rgb="FFF9B54C"/>
      <color rgb="FFCF363F"/>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82627459368183"/>
          <c:y val="6.7208564677739932E-2"/>
          <c:w val="0.59485085772995816"/>
          <c:h val="0.8433330010963821"/>
        </c:manualLayout>
      </c:layout>
      <c:radarChart>
        <c:radarStyle val="marker"/>
        <c:varyColors val="0"/>
        <c:ser>
          <c:idx val="1"/>
          <c:order val="0"/>
          <c:spPr>
            <a:ln w="38100">
              <a:solidFill>
                <a:srgbClr val="75AF5B"/>
              </a:solidFill>
              <a:prstDash val="solid"/>
            </a:ln>
          </c:spPr>
          <c:marker>
            <c:symbol val="circle"/>
            <c:size val="5"/>
            <c:spPr>
              <a:solidFill>
                <a:srgbClr val="75AF5B"/>
              </a:solidFill>
              <a:ln>
                <a:noFill/>
              </a:ln>
            </c:spPr>
          </c:marker>
          <c:dLbls>
            <c:dLbl>
              <c:idx val="0"/>
              <c:layout>
                <c:manualLayout>
                  <c:x val="0"/>
                  <c:y val="4.8411497730711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26-4E45-8B69-5549A9DD8155}"/>
                </c:ext>
              </c:extLst>
            </c:dLbl>
            <c:dLbl>
              <c:idx val="1"/>
              <c:layout>
                <c:manualLayout>
                  <c:x val="-1.5912481352561059E-2"/>
                  <c:y val="-5.54708670122504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26-4E45-8B69-5549A9DD8155}"/>
                </c:ext>
              </c:extLst>
            </c:dLbl>
            <c:dLbl>
              <c:idx val="2"/>
              <c:layout>
                <c:manualLayout>
                  <c:x val="0"/>
                  <c:y val="-3.9334341906202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26-4E45-8B69-5549A9DD8155}"/>
                </c:ext>
              </c:extLst>
            </c:dLbl>
            <c:dLbl>
              <c:idx val="3"/>
              <c:layout>
                <c:manualLayout>
                  <c:x val="2.3533377963776556E-2"/>
                  <c:y val="3.02571860816944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26-4E45-8B69-5549A9DD815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Results!$B$4:$B$7</c:f>
              <c:strCache>
                <c:ptCount val="4"/>
                <c:pt idx="0">
                  <c:v>Brand Strategy</c:v>
                </c:pt>
                <c:pt idx="1">
                  <c:v>Brand Alignment</c:v>
                </c:pt>
                <c:pt idx="2">
                  <c:v>Brand Communication</c:v>
                </c:pt>
                <c:pt idx="3">
                  <c:v>Brand Execution</c:v>
                </c:pt>
              </c:strCache>
            </c:strRef>
          </c:cat>
          <c:val>
            <c:numRef>
              <c:f>Results!$C$4:$C$7</c:f>
              <c:numCache>
                <c:formatCode>General</c:formatCode>
                <c:ptCount val="4"/>
                <c:pt idx="0">
                  <c:v>3.6</c:v>
                </c:pt>
                <c:pt idx="1">
                  <c:v>2.6</c:v>
                </c:pt>
                <c:pt idx="2">
                  <c:v>1.6</c:v>
                </c:pt>
                <c:pt idx="3">
                  <c:v>4.2</c:v>
                </c:pt>
              </c:numCache>
            </c:numRef>
          </c:val>
          <c:extLst>
            <c:ext xmlns:c15="http://schemas.microsoft.com/office/drawing/2012/chart" uri="{02D57815-91ED-43cb-92C2-25804820EDAC}">
              <c15:filteredSeriesTitle>
                <c15:tx>
                  <c:v>Maturity Index</c:v>
                </c15:tx>
              </c15:filteredSeriesTitle>
            </c:ext>
            <c:ext xmlns:c16="http://schemas.microsoft.com/office/drawing/2014/chart" uri="{C3380CC4-5D6E-409C-BE32-E72D297353CC}">
              <c16:uniqueId val="{00000000-072F-4BB9-AF68-8D46494EA387}"/>
            </c:ext>
          </c:extLst>
        </c:ser>
        <c:dLbls>
          <c:showLegendKey val="0"/>
          <c:showVal val="0"/>
          <c:showCatName val="0"/>
          <c:showSerName val="0"/>
          <c:showPercent val="0"/>
          <c:showBubbleSize val="0"/>
        </c:dLbls>
        <c:axId val="183898416"/>
        <c:axId val="320001808"/>
      </c:radarChart>
      <c:catAx>
        <c:axId val="183898416"/>
        <c:scaling>
          <c:orientation val="minMax"/>
        </c:scaling>
        <c:delete val="0"/>
        <c:axPos val="b"/>
        <c:majorGridlines>
          <c:spPr>
            <a:ln w="3175">
              <a:solidFill>
                <a:schemeClr val="bg2">
                  <a:lumMod val="75000"/>
                </a:schemeClr>
              </a:solidFill>
              <a:prstDash val="solid"/>
            </a:ln>
          </c:spPr>
        </c:majorGridlines>
        <c:numFmt formatCode="General" sourceLinked="1"/>
        <c:majorTickMark val="out"/>
        <c:minorTickMark val="none"/>
        <c:tickLblPos val="nextTo"/>
        <c:txPr>
          <a:bodyPr rot="0" vert="horz"/>
          <a:lstStyle/>
          <a:p>
            <a:pPr>
              <a:defRPr sz="1000" b="1" i="0" u="none" strike="noStrike" baseline="0">
                <a:solidFill>
                  <a:srgbClr val="404141"/>
                </a:solidFill>
                <a:latin typeface="Arial" panose="020B0604020202020204" pitchFamily="34" charset="0"/>
                <a:ea typeface="Verdana"/>
                <a:cs typeface="Arial" panose="020B0604020202020204" pitchFamily="34" charset="0"/>
              </a:defRPr>
            </a:pPr>
            <a:endParaRPr lang="en-US"/>
          </a:p>
        </c:txPr>
        <c:crossAx val="320001808"/>
        <c:crosses val="autoZero"/>
        <c:auto val="0"/>
        <c:lblAlgn val="ctr"/>
        <c:lblOffset val="100"/>
        <c:noMultiLvlLbl val="0"/>
      </c:catAx>
      <c:valAx>
        <c:axId val="320001808"/>
        <c:scaling>
          <c:orientation val="minMax"/>
          <c:max val="5"/>
          <c:min val="0"/>
        </c:scaling>
        <c:delete val="0"/>
        <c:axPos val="l"/>
        <c:majorGridlines>
          <c:spPr>
            <a:ln w="3175">
              <a:solidFill>
                <a:schemeClr val="bg1">
                  <a:lumMod val="85000"/>
                </a:schemeClr>
              </a:solidFill>
              <a:prstDash val="solid"/>
            </a:ln>
          </c:spPr>
        </c:majorGridlines>
        <c:numFmt formatCode="General" sourceLinked="1"/>
        <c:majorTickMark val="cross"/>
        <c:minorTickMark val="none"/>
        <c:tickLblPos val="nextTo"/>
        <c:spPr>
          <a:ln w="3175">
            <a:solidFill>
              <a:schemeClr val="bg1">
                <a:lumMod val="95000"/>
              </a:schemeClr>
            </a:solidFill>
            <a:prstDash val="solid"/>
          </a:ln>
        </c:spPr>
        <c:txPr>
          <a:bodyPr rot="0" vert="horz"/>
          <a:lstStyle/>
          <a:p>
            <a:pPr>
              <a:defRPr sz="800" b="0" i="0" u="none" strike="noStrike" baseline="0">
                <a:solidFill>
                  <a:schemeClr val="bg1">
                    <a:lumMod val="85000"/>
                  </a:schemeClr>
                </a:solidFill>
                <a:latin typeface="Arial" panose="020B0604020202020204" pitchFamily="34" charset="0"/>
                <a:ea typeface="Verdana"/>
                <a:cs typeface="Arial" panose="020B0604020202020204" pitchFamily="34" charset="0"/>
              </a:defRPr>
            </a:pPr>
            <a:endParaRPr lang="en-US"/>
          </a:p>
        </c:txPr>
        <c:crossAx val="183898416"/>
        <c:crosses val="autoZero"/>
        <c:crossBetween val="between"/>
        <c:majorUnit val="1"/>
        <c:minorUnit val="0.5"/>
      </c:valAx>
      <c:spPr>
        <a:noFill/>
        <a:ln w="25400">
          <a:noFill/>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emandmetric.com/" TargetMode="Externa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emandmetric.com/"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www.demandmetric.com/" TargetMode="External"/><Relationship Id="rId2" Type="http://schemas.openxmlformats.org/officeDocument/2006/relationships/image" Target="../media/image2.jpeg"/><Relationship Id="rId1" Type="http://schemas.openxmlformats.org/officeDocument/2006/relationships/hyperlink" Target="http://www.sandrasellani.com/"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285750</xdr:rowOff>
    </xdr:from>
    <xdr:to>
      <xdr:col>1</xdr:col>
      <xdr:colOff>3267075</xdr:colOff>
      <xdr:row>0</xdr:row>
      <xdr:rowOff>590550</xdr:rowOff>
    </xdr:to>
    <xdr:pic>
      <xdr:nvPicPr>
        <xdr:cNvPr id="4" name="Picture 1">
          <a:hlinkClick xmlns:r="http://schemas.openxmlformats.org/officeDocument/2006/relationships" r:id="rId1"/>
          <a:extLst>
            <a:ext uri="{FF2B5EF4-FFF2-40B4-BE49-F238E27FC236}">
              <a16:creationId xmlns:a16="http://schemas.microsoft.com/office/drawing/2014/main" id="{3DC0B73C-7AFF-4CF1-A594-7DB141DB8A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285750</xdr:rowOff>
    </xdr:from>
    <xdr:to>
      <xdr:col>2</xdr:col>
      <xdr:colOff>955675</xdr:colOff>
      <xdr:row>0</xdr:row>
      <xdr:rowOff>590550</xdr:rowOff>
    </xdr:to>
    <xdr:pic>
      <xdr:nvPicPr>
        <xdr:cNvPr id="3" name="Picture 1">
          <a:hlinkClick xmlns:r="http://schemas.openxmlformats.org/officeDocument/2006/relationships" r:id="rId1"/>
          <a:extLst>
            <a:ext uri="{FF2B5EF4-FFF2-40B4-BE49-F238E27FC236}">
              <a16:creationId xmlns:a16="http://schemas.microsoft.com/office/drawing/2014/main" id="{DA31AB7F-022F-4D7A-9D6C-FAD87D519F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15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285750</xdr:rowOff>
    </xdr:from>
    <xdr:to>
      <xdr:col>1</xdr:col>
      <xdr:colOff>3267075</xdr:colOff>
      <xdr:row>0</xdr:row>
      <xdr:rowOff>590550</xdr:rowOff>
    </xdr:to>
    <xdr:pic>
      <xdr:nvPicPr>
        <xdr:cNvPr id="4" name="Picture 1">
          <a:hlinkClick xmlns:r="http://schemas.openxmlformats.org/officeDocument/2006/relationships" r:id="rId1"/>
          <a:extLst>
            <a:ext uri="{FF2B5EF4-FFF2-40B4-BE49-F238E27FC236}">
              <a16:creationId xmlns:a16="http://schemas.microsoft.com/office/drawing/2014/main" id="{2AE84810-DE9A-40D1-A7C4-74D4DA3FBC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15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3</xdr:row>
      <xdr:rowOff>19050</xdr:rowOff>
    </xdr:from>
    <xdr:to>
      <xdr:col>4</xdr:col>
      <xdr:colOff>6743700</xdr:colOff>
      <xdr:row>7</xdr:row>
      <xdr:rowOff>711200</xdr:rowOff>
    </xdr:to>
    <xdr:graphicFrame macro="">
      <xdr:nvGraphicFramePr>
        <xdr:cNvPr id="4114" name="Chart 4">
          <a:extLst>
            <a:ext uri="{FF2B5EF4-FFF2-40B4-BE49-F238E27FC236}">
              <a16:creationId xmlns:a16="http://schemas.microsoft.com/office/drawing/2014/main" id="{0D3E968F-3BFB-474D-AE64-B7A9E7C20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285750</xdr:rowOff>
    </xdr:from>
    <xdr:to>
      <xdr:col>2</xdr:col>
      <xdr:colOff>9525</xdr:colOff>
      <xdr:row>0</xdr:row>
      <xdr:rowOff>590550</xdr:rowOff>
    </xdr:to>
    <xdr:pic>
      <xdr:nvPicPr>
        <xdr:cNvPr id="4" name="Picture 1">
          <a:hlinkClick xmlns:r="http://schemas.openxmlformats.org/officeDocument/2006/relationships" r:id="rId2"/>
          <a:extLst>
            <a:ext uri="{FF2B5EF4-FFF2-40B4-BE49-F238E27FC236}">
              <a16:creationId xmlns:a16="http://schemas.microsoft.com/office/drawing/2014/main" id="{0A16A336-477B-4361-A261-B15C7C08BA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15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285750</xdr:rowOff>
    </xdr:from>
    <xdr:to>
      <xdr:col>1</xdr:col>
      <xdr:colOff>3267075</xdr:colOff>
      <xdr:row>0</xdr:row>
      <xdr:rowOff>590550</xdr:rowOff>
    </xdr:to>
    <xdr:pic>
      <xdr:nvPicPr>
        <xdr:cNvPr id="4" name="Picture 1">
          <a:hlinkClick xmlns:r="http://schemas.openxmlformats.org/officeDocument/2006/relationships" r:id="rId1"/>
          <a:extLst>
            <a:ext uri="{FF2B5EF4-FFF2-40B4-BE49-F238E27FC236}">
              <a16:creationId xmlns:a16="http://schemas.microsoft.com/office/drawing/2014/main" id="{476750BF-81C3-47B6-AE75-8EEA4698C7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15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2</xdr:row>
      <xdr:rowOff>76200</xdr:rowOff>
    </xdr:from>
    <xdr:to>
      <xdr:col>1</xdr:col>
      <xdr:colOff>2333625</xdr:colOff>
      <xdr:row>2</xdr:row>
      <xdr:rowOff>800100</xdr:rowOff>
    </xdr:to>
    <xdr:pic>
      <xdr:nvPicPr>
        <xdr:cNvPr id="6158" name="Picture 2" descr="sellani group brand strategist.jpg">
          <a:hlinkClick xmlns:r="http://schemas.openxmlformats.org/officeDocument/2006/relationships" r:id="rId1"/>
          <a:extLst>
            <a:ext uri="{FF2B5EF4-FFF2-40B4-BE49-F238E27FC236}">
              <a16:creationId xmlns:a16="http://schemas.microsoft.com/office/drawing/2014/main" id="{F5192098-1863-47A4-A496-B5242578C0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619125"/>
          <a:ext cx="22860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285750</xdr:rowOff>
    </xdr:from>
    <xdr:to>
      <xdr:col>1</xdr:col>
      <xdr:colOff>3267075</xdr:colOff>
      <xdr:row>0</xdr:row>
      <xdr:rowOff>590550</xdr:rowOff>
    </xdr:to>
    <xdr:pic>
      <xdr:nvPicPr>
        <xdr:cNvPr id="4" name="Picture 1">
          <a:hlinkClick xmlns:r="http://schemas.openxmlformats.org/officeDocument/2006/relationships" r:id="rId3"/>
          <a:extLst>
            <a:ext uri="{FF2B5EF4-FFF2-40B4-BE49-F238E27FC236}">
              <a16:creationId xmlns:a16="http://schemas.microsoft.com/office/drawing/2014/main" id="{740131C3-A9C0-4315-B6A5-66903C19244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4150" y="285750"/>
          <a:ext cx="32670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B1:C14"/>
  <sheetViews>
    <sheetView showGridLines="0" showRowColHeaders="0" tabSelected="1" showRuler="0" workbookViewId="0">
      <selection activeCell="B2" sqref="B2:C2"/>
    </sheetView>
  </sheetViews>
  <sheetFormatPr baseColWidth="10" defaultColWidth="8.83203125" defaultRowHeight="13" x14ac:dyDescent="0.15"/>
  <cols>
    <col min="1" max="1" width="2.6640625" style="1" customWidth="1"/>
    <col min="2" max="2" width="133.1640625" style="1" customWidth="1"/>
    <col min="3" max="3" width="32.33203125" style="22" customWidth="1"/>
    <col min="4" max="16384" width="8.83203125" style="1"/>
  </cols>
  <sheetData>
    <row r="1" spans="2:3" ht="70" customHeight="1" x14ac:dyDescent="0.15">
      <c r="B1" s="68" t="s">
        <v>13</v>
      </c>
      <c r="C1" s="68"/>
    </row>
    <row r="2" spans="2:3" ht="39" customHeight="1" x14ac:dyDescent="0.15">
      <c r="B2" s="69" t="s">
        <v>8</v>
      </c>
      <c r="C2" s="70"/>
    </row>
    <row r="3" spans="2:3" ht="50" customHeight="1" x14ac:dyDescent="0.15">
      <c r="B3" s="12" t="s">
        <v>14</v>
      </c>
      <c r="C3" s="17" t="s">
        <v>151</v>
      </c>
    </row>
    <row r="4" spans="2:3" ht="50" customHeight="1" x14ac:dyDescent="0.15">
      <c r="B4" s="13" t="s">
        <v>9</v>
      </c>
      <c r="C4" s="18" t="s">
        <v>152</v>
      </c>
    </row>
    <row r="5" spans="2:3" ht="50" customHeight="1" x14ac:dyDescent="0.15">
      <c r="B5" s="13" t="s">
        <v>5</v>
      </c>
      <c r="C5" s="18" t="s">
        <v>153</v>
      </c>
    </row>
    <row r="6" spans="2:3" ht="50" customHeight="1" x14ac:dyDescent="0.15">
      <c r="B6" s="13" t="s">
        <v>11</v>
      </c>
      <c r="C6" s="18" t="s">
        <v>156</v>
      </c>
    </row>
    <row r="7" spans="2:3" ht="50" customHeight="1" x14ac:dyDescent="0.15">
      <c r="B7" s="13" t="s">
        <v>12</v>
      </c>
      <c r="C7" s="18" t="s">
        <v>154</v>
      </c>
    </row>
    <row r="8" spans="2:3" ht="50" customHeight="1" x14ac:dyDescent="0.15">
      <c r="B8" s="14" t="s">
        <v>15</v>
      </c>
      <c r="C8" s="19" t="s">
        <v>155</v>
      </c>
    </row>
    <row r="9" spans="2:3" ht="42.75" customHeight="1" x14ac:dyDescent="0.15">
      <c r="C9" s="7"/>
    </row>
    <row r="10" spans="2:3" ht="42.75" customHeight="1" x14ac:dyDescent="0.15">
      <c r="C10" s="20"/>
    </row>
    <row r="11" spans="2:3" ht="42.75" customHeight="1" x14ac:dyDescent="0.15">
      <c r="C11" s="20"/>
    </row>
    <row r="12" spans="2:3" ht="42.75" customHeight="1" x14ac:dyDescent="0.15">
      <c r="C12" s="20"/>
    </row>
    <row r="13" spans="2:3" x14ac:dyDescent="0.15">
      <c r="C13" s="21"/>
    </row>
    <row r="14" spans="2:3" x14ac:dyDescent="0.15">
      <c r="C14" s="21"/>
    </row>
  </sheetData>
  <mergeCells count="2">
    <mergeCell ref="B1:C1"/>
    <mergeCell ref="B2:C2"/>
  </mergeCells>
  <phoneticPr fontId="3" type="noConversion"/>
  <pageMargins left="0.75000000000000011" right="0.75000000000000011"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13"/>
  <sheetViews>
    <sheetView showGridLines="0" showRowColHeaders="0" showRuler="0" workbookViewId="0">
      <selection activeCell="B4" sqref="B4"/>
    </sheetView>
  </sheetViews>
  <sheetFormatPr baseColWidth="10" defaultColWidth="8.83203125" defaultRowHeight="13" x14ac:dyDescent="0.15"/>
  <cols>
    <col min="1" max="1" width="2.6640625" style="7" customWidth="1"/>
    <col min="2" max="5" width="33.1640625" style="3" customWidth="1"/>
    <col min="6" max="6" width="33.1640625" style="7" customWidth="1"/>
    <col min="7" max="16384" width="8.83203125" style="7"/>
  </cols>
  <sheetData>
    <row r="1" spans="2:6" s="1" customFormat="1" ht="70" customHeight="1" x14ac:dyDescent="0.15">
      <c r="B1" s="71" t="s">
        <v>13</v>
      </c>
      <c r="C1" s="71"/>
      <c r="D1" s="71"/>
      <c r="E1" s="71"/>
      <c r="F1" s="71"/>
    </row>
    <row r="2" spans="2:6" s="4" customFormat="1" ht="39" customHeight="1" x14ac:dyDescent="0.15">
      <c r="B2" s="73" t="s">
        <v>7</v>
      </c>
      <c r="C2" s="73"/>
      <c r="D2" s="73"/>
      <c r="E2" s="73"/>
      <c r="F2" s="73"/>
    </row>
    <row r="3" spans="2:6" s="3" customFormat="1" ht="80" customHeight="1" x14ac:dyDescent="0.15">
      <c r="B3" s="10" t="s">
        <v>26</v>
      </c>
      <c r="C3" s="10" t="s">
        <v>27</v>
      </c>
      <c r="D3" s="10" t="s">
        <v>28</v>
      </c>
      <c r="E3" s="10" t="s">
        <v>29</v>
      </c>
      <c r="F3" s="15" t="s">
        <v>6</v>
      </c>
    </row>
    <row r="4" spans="2:6" s="5" customFormat="1" ht="80" customHeight="1" x14ac:dyDescent="0.2">
      <c r="B4" s="11">
        <v>0.25</v>
      </c>
      <c r="C4" s="11">
        <v>0.25</v>
      </c>
      <c r="D4" s="11">
        <v>0.25</v>
      </c>
      <c r="E4" s="11">
        <v>0.25</v>
      </c>
      <c r="F4" s="16">
        <f>B4+C4+D4+E4</f>
        <v>1</v>
      </c>
    </row>
    <row r="5" spans="2:6" x14ac:dyDescent="0.15">
      <c r="B5" s="6"/>
      <c r="C5" s="6"/>
      <c r="D5" s="6"/>
      <c r="E5" s="6"/>
      <c r="F5" s="3"/>
    </row>
    <row r="6" spans="2:6" x14ac:dyDescent="0.15">
      <c r="B6" s="72"/>
      <c r="C6" s="72"/>
      <c r="D6" s="72"/>
      <c r="E6" s="72"/>
      <c r="F6" s="8"/>
    </row>
    <row r="7" spans="2:6" x14ac:dyDescent="0.15">
      <c r="B7" s="72"/>
      <c r="C7" s="72"/>
      <c r="D7" s="72"/>
      <c r="E7" s="72"/>
      <c r="F7" s="8"/>
    </row>
    <row r="8" spans="2:6" x14ac:dyDescent="0.15">
      <c r="B8" s="72"/>
      <c r="C8" s="72"/>
      <c r="D8" s="72"/>
      <c r="E8" s="72"/>
      <c r="F8" s="8"/>
    </row>
    <row r="9" spans="2:6" x14ac:dyDescent="0.15">
      <c r="B9" s="72"/>
      <c r="C9" s="72"/>
      <c r="D9" s="72"/>
      <c r="E9" s="72"/>
      <c r="F9" s="8"/>
    </row>
    <row r="10" spans="2:6" x14ac:dyDescent="0.15">
      <c r="B10" s="72"/>
      <c r="C10" s="72"/>
      <c r="D10" s="72"/>
      <c r="E10" s="72"/>
      <c r="F10" s="8"/>
    </row>
    <row r="11" spans="2:6" x14ac:dyDescent="0.15">
      <c r="B11" s="9"/>
      <c r="C11" s="9"/>
      <c r="D11" s="9"/>
      <c r="E11" s="9"/>
    </row>
    <row r="12" spans="2:6" x14ac:dyDescent="0.15">
      <c r="B12" s="9"/>
      <c r="C12" s="9"/>
      <c r="D12" s="9"/>
      <c r="E12" s="9"/>
    </row>
    <row r="13" spans="2:6" x14ac:dyDescent="0.15">
      <c r="B13" s="9"/>
      <c r="C13" s="9"/>
      <c r="D13" s="9"/>
      <c r="E13" s="9"/>
    </row>
  </sheetData>
  <mergeCells count="7">
    <mergeCell ref="B1:F1"/>
    <mergeCell ref="B9:E9"/>
    <mergeCell ref="B10:E10"/>
    <mergeCell ref="B2:F2"/>
    <mergeCell ref="B6:E6"/>
    <mergeCell ref="B7:E7"/>
    <mergeCell ref="B8:E8"/>
  </mergeCells>
  <phoneticPr fontId="3" type="noConversion"/>
  <conditionalFormatting sqref="F4">
    <cfRule type="cellIs" dxfId="62" priority="1" operator="notEqual">
      <formula>100%</formula>
    </cfRule>
  </conditionalFormatting>
  <dataValidations count="1">
    <dataValidation type="list" allowBlank="1" showInputMessage="1" showErrorMessage="1" sqref="B4:E4" xr:uid="{00000000-0002-0000-0100-000000000000}">
      <formula1>"0%,5%,10%,15%,20%,25%,30%,35%,40%,45%,50%"</formula1>
    </dataValidation>
  </dataValidations>
  <pageMargins left="0.71" right="0.71" top="0.75000000000000011" bottom="0.75000000000000011" header="0.31" footer="0.3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53"/>
  <sheetViews>
    <sheetView showGridLines="0" showRowColHeaders="0" showRuler="0" workbookViewId="0">
      <pane ySplit="2" topLeftCell="A3" activePane="bottomLeft" state="frozen"/>
      <selection pane="bottomLeft" activeCell="C4" sqref="C4"/>
    </sheetView>
  </sheetViews>
  <sheetFormatPr baseColWidth="10" defaultColWidth="8.83203125" defaultRowHeight="13" x14ac:dyDescent="0.15"/>
  <cols>
    <col min="1" max="1" width="2.6640625" style="24" customWidth="1"/>
    <col min="2" max="2" width="96.33203125" style="24" customWidth="1"/>
    <col min="3" max="3" width="14.5" style="24" customWidth="1"/>
    <col min="4" max="4" width="54.6640625" style="25" customWidth="1"/>
    <col min="5" max="16384" width="8.83203125" style="24"/>
  </cols>
  <sheetData>
    <row r="1" spans="2:4" s="1" customFormat="1" ht="70" customHeight="1" x14ac:dyDescent="0.15">
      <c r="B1" s="71" t="s">
        <v>13</v>
      </c>
      <c r="C1" s="71"/>
      <c r="D1" s="71"/>
    </row>
    <row r="2" spans="2:4" ht="39" customHeight="1" x14ac:dyDescent="0.15">
      <c r="B2" s="26" t="s">
        <v>4</v>
      </c>
      <c r="C2" s="27" t="s">
        <v>0</v>
      </c>
      <c r="D2" s="26" t="s">
        <v>3</v>
      </c>
    </row>
    <row r="3" spans="2:4" ht="39" customHeight="1" x14ac:dyDescent="0.15">
      <c r="B3" s="73" t="s">
        <v>26</v>
      </c>
      <c r="C3" s="73"/>
      <c r="D3" s="73"/>
    </row>
    <row r="4" spans="2:4" ht="64" customHeight="1" x14ac:dyDescent="0.15">
      <c r="B4" s="28" t="s">
        <v>30</v>
      </c>
      <c r="C4" s="23">
        <v>2</v>
      </c>
      <c r="D4" s="29"/>
    </row>
    <row r="5" spans="2:4" ht="64" customHeight="1" x14ac:dyDescent="0.15">
      <c r="B5" s="28" t="s">
        <v>31</v>
      </c>
      <c r="C5" s="23">
        <v>5</v>
      </c>
      <c r="D5" s="29"/>
    </row>
    <row r="6" spans="2:4" ht="64" customHeight="1" x14ac:dyDescent="0.15">
      <c r="B6" s="28" t="s">
        <v>32</v>
      </c>
      <c r="C6" s="23">
        <v>3</v>
      </c>
      <c r="D6" s="29"/>
    </row>
    <row r="7" spans="2:4" ht="64" customHeight="1" x14ac:dyDescent="0.15">
      <c r="B7" s="28" t="s">
        <v>33</v>
      </c>
      <c r="C7" s="23">
        <v>4</v>
      </c>
      <c r="D7" s="29"/>
    </row>
    <row r="8" spans="2:4" ht="64" customHeight="1" x14ac:dyDescent="0.15">
      <c r="B8" s="28" t="s">
        <v>34</v>
      </c>
      <c r="C8" s="23">
        <v>1</v>
      </c>
      <c r="D8" s="29"/>
    </row>
    <row r="9" spans="2:4" ht="64" customHeight="1" x14ac:dyDescent="0.15">
      <c r="B9" s="28" t="s">
        <v>35</v>
      </c>
      <c r="C9" s="23">
        <v>4</v>
      </c>
      <c r="D9" s="29"/>
    </row>
    <row r="10" spans="2:4" ht="64" customHeight="1" x14ac:dyDescent="0.15">
      <c r="B10" s="28" t="s">
        <v>36</v>
      </c>
      <c r="C10" s="23">
        <v>5</v>
      </c>
      <c r="D10" s="29"/>
    </row>
    <row r="11" spans="2:4" ht="64" customHeight="1" x14ac:dyDescent="0.15">
      <c r="B11" s="28" t="s">
        <v>37</v>
      </c>
      <c r="C11" s="23">
        <v>3</v>
      </c>
      <c r="D11" s="29"/>
    </row>
    <row r="12" spans="2:4" ht="64" customHeight="1" x14ac:dyDescent="0.15">
      <c r="B12" s="28" t="s">
        <v>38</v>
      </c>
      <c r="C12" s="23">
        <v>4</v>
      </c>
      <c r="D12" s="29"/>
    </row>
    <row r="13" spans="2:4" ht="64" customHeight="1" x14ac:dyDescent="0.15">
      <c r="B13" s="28" t="s">
        <v>39</v>
      </c>
      <c r="C13" s="23">
        <v>5</v>
      </c>
      <c r="D13" s="29"/>
    </row>
    <row r="14" spans="2:4" ht="20" customHeight="1" x14ac:dyDescent="0.15"/>
    <row r="15" spans="2:4" ht="39" customHeight="1" x14ac:dyDescent="0.15">
      <c r="B15" s="73" t="s">
        <v>27</v>
      </c>
      <c r="C15" s="73"/>
      <c r="D15" s="73"/>
    </row>
    <row r="16" spans="2:4" ht="64" customHeight="1" x14ac:dyDescent="0.15">
      <c r="B16" s="28" t="s">
        <v>40</v>
      </c>
      <c r="C16" s="23">
        <v>2</v>
      </c>
      <c r="D16" s="29"/>
    </row>
    <row r="17" spans="2:4" ht="64" customHeight="1" x14ac:dyDescent="0.15">
      <c r="B17" s="28" t="s">
        <v>41</v>
      </c>
      <c r="C17" s="23">
        <v>1</v>
      </c>
      <c r="D17" s="29"/>
    </row>
    <row r="18" spans="2:4" ht="64" customHeight="1" x14ac:dyDescent="0.15">
      <c r="B18" s="28" t="s">
        <v>42</v>
      </c>
      <c r="C18" s="23">
        <v>3</v>
      </c>
      <c r="D18" s="29"/>
    </row>
    <row r="19" spans="2:4" ht="64" customHeight="1" x14ac:dyDescent="0.15">
      <c r="B19" s="28" t="s">
        <v>43</v>
      </c>
      <c r="C19" s="23">
        <v>5</v>
      </c>
      <c r="D19" s="29"/>
    </row>
    <row r="20" spans="2:4" ht="64" customHeight="1" x14ac:dyDescent="0.15">
      <c r="B20" s="28" t="s">
        <v>44</v>
      </c>
      <c r="C20" s="23">
        <v>1</v>
      </c>
      <c r="D20" s="29"/>
    </row>
    <row r="21" spans="2:4" ht="64" customHeight="1" x14ac:dyDescent="0.15">
      <c r="B21" s="28" t="s">
        <v>45</v>
      </c>
      <c r="C21" s="23">
        <v>4</v>
      </c>
      <c r="D21" s="29"/>
    </row>
    <row r="22" spans="2:4" ht="64" customHeight="1" x14ac:dyDescent="0.15">
      <c r="B22" s="28" t="s">
        <v>46</v>
      </c>
      <c r="C22" s="23">
        <v>2</v>
      </c>
      <c r="D22" s="29"/>
    </row>
    <row r="23" spans="2:4" ht="64" customHeight="1" x14ac:dyDescent="0.15">
      <c r="B23" s="28" t="s">
        <v>47</v>
      </c>
      <c r="C23" s="23">
        <v>3</v>
      </c>
      <c r="D23" s="29"/>
    </row>
    <row r="24" spans="2:4" ht="64" customHeight="1" x14ac:dyDescent="0.15">
      <c r="B24" s="28" t="s">
        <v>48</v>
      </c>
      <c r="C24" s="23">
        <v>1</v>
      </c>
      <c r="D24" s="29"/>
    </row>
    <row r="25" spans="2:4" ht="64" customHeight="1" x14ac:dyDescent="0.15">
      <c r="B25" s="28" t="s">
        <v>49</v>
      </c>
      <c r="C25" s="23">
        <v>4</v>
      </c>
      <c r="D25" s="29"/>
    </row>
    <row r="26" spans="2:4" ht="20" customHeight="1" x14ac:dyDescent="0.15"/>
    <row r="27" spans="2:4" ht="39" customHeight="1" x14ac:dyDescent="0.15">
      <c r="B27" s="73" t="s">
        <v>28</v>
      </c>
      <c r="C27" s="73"/>
      <c r="D27" s="73"/>
    </row>
    <row r="28" spans="2:4" ht="64" customHeight="1" x14ac:dyDescent="0.15">
      <c r="B28" s="28" t="s">
        <v>50</v>
      </c>
      <c r="C28" s="23">
        <v>1</v>
      </c>
      <c r="D28" s="29"/>
    </row>
    <row r="29" spans="2:4" ht="64" customHeight="1" x14ac:dyDescent="0.15">
      <c r="B29" s="28" t="s">
        <v>51</v>
      </c>
      <c r="C29" s="23">
        <v>2</v>
      </c>
      <c r="D29" s="29"/>
    </row>
    <row r="30" spans="2:4" ht="64" customHeight="1" x14ac:dyDescent="0.15">
      <c r="B30" s="28" t="s">
        <v>52</v>
      </c>
      <c r="C30" s="23">
        <v>1</v>
      </c>
      <c r="D30" s="29"/>
    </row>
    <row r="31" spans="2:4" ht="64" customHeight="1" x14ac:dyDescent="0.15">
      <c r="B31" s="28" t="s">
        <v>53</v>
      </c>
      <c r="C31" s="23">
        <v>1</v>
      </c>
      <c r="D31" s="29"/>
    </row>
    <row r="32" spans="2:4" ht="64" customHeight="1" x14ac:dyDescent="0.15">
      <c r="B32" s="28" t="s">
        <v>54</v>
      </c>
      <c r="C32" s="23">
        <v>4</v>
      </c>
      <c r="D32" s="29"/>
    </row>
    <row r="33" spans="2:4" ht="64" customHeight="1" x14ac:dyDescent="0.15">
      <c r="B33" s="28" t="s">
        <v>55</v>
      </c>
      <c r="C33" s="23">
        <v>1</v>
      </c>
      <c r="D33" s="29"/>
    </row>
    <row r="34" spans="2:4" ht="64" customHeight="1" x14ac:dyDescent="0.15">
      <c r="B34" s="28" t="s">
        <v>56</v>
      </c>
      <c r="C34" s="23">
        <v>2</v>
      </c>
      <c r="D34" s="29"/>
    </row>
    <row r="35" spans="2:4" ht="64" customHeight="1" x14ac:dyDescent="0.15">
      <c r="B35" s="28" t="s">
        <v>57</v>
      </c>
      <c r="C35" s="23">
        <v>2</v>
      </c>
      <c r="D35" s="29"/>
    </row>
    <row r="36" spans="2:4" ht="64" customHeight="1" x14ac:dyDescent="0.15">
      <c r="B36" s="28" t="s">
        <v>58</v>
      </c>
      <c r="C36" s="23">
        <v>1</v>
      </c>
      <c r="D36" s="29"/>
    </row>
    <row r="37" spans="2:4" ht="64" customHeight="1" x14ac:dyDescent="0.15">
      <c r="B37" s="28" t="s">
        <v>59</v>
      </c>
      <c r="C37" s="23">
        <v>1</v>
      </c>
      <c r="D37" s="29"/>
    </row>
    <row r="38" spans="2:4" ht="20" customHeight="1" x14ac:dyDescent="0.15"/>
    <row r="39" spans="2:4" ht="39" customHeight="1" x14ac:dyDescent="0.15">
      <c r="B39" s="73" t="s">
        <v>29</v>
      </c>
      <c r="C39" s="73"/>
      <c r="D39" s="73"/>
    </row>
    <row r="40" spans="2:4" ht="64" customHeight="1" x14ac:dyDescent="0.15">
      <c r="B40" s="28" t="s">
        <v>60</v>
      </c>
      <c r="C40" s="23">
        <v>4</v>
      </c>
      <c r="D40" s="29"/>
    </row>
    <row r="41" spans="2:4" ht="64" customHeight="1" x14ac:dyDescent="0.15">
      <c r="B41" s="28" t="s">
        <v>61</v>
      </c>
      <c r="C41" s="23">
        <v>5</v>
      </c>
      <c r="D41" s="29"/>
    </row>
    <row r="42" spans="2:4" ht="64" customHeight="1" x14ac:dyDescent="0.15">
      <c r="B42" s="28" t="s">
        <v>62</v>
      </c>
      <c r="C42" s="23">
        <v>3</v>
      </c>
      <c r="D42" s="29"/>
    </row>
    <row r="43" spans="2:4" ht="64" customHeight="1" x14ac:dyDescent="0.15">
      <c r="B43" s="28" t="s">
        <v>63</v>
      </c>
      <c r="C43" s="23">
        <v>1</v>
      </c>
      <c r="D43" s="29"/>
    </row>
    <row r="44" spans="2:4" ht="64" customHeight="1" x14ac:dyDescent="0.15">
      <c r="B44" s="28" t="s">
        <v>64</v>
      </c>
      <c r="C44" s="23">
        <v>5</v>
      </c>
      <c r="D44" s="29"/>
    </row>
    <row r="45" spans="2:4" ht="64" customHeight="1" x14ac:dyDescent="0.15">
      <c r="B45" s="28" t="s">
        <v>65</v>
      </c>
      <c r="C45" s="23">
        <v>4</v>
      </c>
      <c r="D45" s="29"/>
    </row>
    <row r="46" spans="2:4" ht="64" customHeight="1" x14ac:dyDescent="0.15">
      <c r="B46" s="28" t="s">
        <v>66</v>
      </c>
      <c r="C46" s="23">
        <v>5</v>
      </c>
      <c r="D46" s="29"/>
    </row>
    <row r="47" spans="2:4" ht="64" customHeight="1" x14ac:dyDescent="0.15">
      <c r="B47" s="28" t="s">
        <v>67</v>
      </c>
      <c r="C47" s="23">
        <v>5</v>
      </c>
      <c r="D47" s="29"/>
    </row>
    <row r="48" spans="2:4" ht="64" customHeight="1" x14ac:dyDescent="0.15">
      <c r="B48" s="28" t="s">
        <v>68</v>
      </c>
      <c r="C48" s="23">
        <v>5</v>
      </c>
      <c r="D48" s="29"/>
    </row>
    <row r="49" spans="2:4" ht="64" customHeight="1" x14ac:dyDescent="0.15">
      <c r="B49" s="28" t="s">
        <v>69</v>
      </c>
      <c r="C49" s="23">
        <v>5</v>
      </c>
      <c r="D49" s="29"/>
    </row>
    <row r="53" spans="2:4" ht="20" customHeight="1" x14ac:dyDescent="0.15"/>
  </sheetData>
  <mergeCells count="5">
    <mergeCell ref="B1:D1"/>
    <mergeCell ref="B39:D39"/>
    <mergeCell ref="B15:D15"/>
    <mergeCell ref="B3:D3"/>
    <mergeCell ref="B27:D27"/>
  </mergeCells>
  <phoneticPr fontId="0" type="noConversion"/>
  <conditionalFormatting sqref="B2:C2">
    <cfRule type="cellIs" dxfId="61" priority="73" stopIfTrue="1" operator="lessThanOrEqual">
      <formula>1</formula>
    </cfRule>
    <cfRule type="cellIs" dxfId="60" priority="74" stopIfTrue="1" operator="between">
      <formula>4</formula>
      <formula>5</formula>
    </cfRule>
    <cfRule type="cellIs" dxfId="59" priority="75" stopIfTrue="1" operator="between">
      <formula>2</formula>
      <formula>3.5</formula>
    </cfRule>
  </conditionalFormatting>
  <conditionalFormatting sqref="C4:C13">
    <cfRule type="cellIs" dxfId="58" priority="13" stopIfTrue="1" operator="lessThanOrEqual">
      <formula>1</formula>
    </cfRule>
    <cfRule type="cellIs" dxfId="57" priority="14" stopIfTrue="1" operator="between">
      <formula>2</formula>
      <formula>3.5</formula>
    </cfRule>
    <cfRule type="cellIs" dxfId="56" priority="15" stopIfTrue="1" operator="greaterThanOrEqual">
      <formula>4</formula>
    </cfRule>
  </conditionalFormatting>
  <conditionalFormatting sqref="B28:B37">
    <cfRule type="cellIs" dxfId="55" priority="28" stopIfTrue="1" operator="lessThanOrEqual">
      <formula>1</formula>
    </cfRule>
    <cfRule type="cellIs" dxfId="54" priority="29" stopIfTrue="1" operator="between">
      <formula>4</formula>
      <formula>5</formula>
    </cfRule>
    <cfRule type="cellIs" dxfId="53" priority="30" stopIfTrue="1" operator="between">
      <formula>2</formula>
      <formula>3.5</formula>
    </cfRule>
  </conditionalFormatting>
  <conditionalFormatting sqref="C28:C37">
    <cfRule type="cellIs" dxfId="52" priority="25" stopIfTrue="1" operator="lessThanOrEqual">
      <formula>1</formula>
    </cfRule>
    <cfRule type="cellIs" dxfId="51" priority="26" stopIfTrue="1" operator="between">
      <formula>2</formula>
      <formula>3.5</formula>
    </cfRule>
    <cfRule type="cellIs" dxfId="50" priority="27" stopIfTrue="1" operator="greaterThanOrEqual">
      <formula>4</formula>
    </cfRule>
  </conditionalFormatting>
  <conditionalFormatting sqref="B4:B13">
    <cfRule type="cellIs" dxfId="49" priority="16" stopIfTrue="1" operator="lessThanOrEqual">
      <formula>1</formula>
    </cfRule>
    <cfRule type="cellIs" dxfId="48" priority="17" stopIfTrue="1" operator="between">
      <formula>4</formula>
      <formula>5</formula>
    </cfRule>
    <cfRule type="cellIs" dxfId="47" priority="18" stopIfTrue="1" operator="between">
      <formula>2</formula>
      <formula>3.5</formula>
    </cfRule>
  </conditionalFormatting>
  <conditionalFormatting sqref="B16:B25">
    <cfRule type="cellIs" dxfId="46" priority="10" stopIfTrue="1" operator="lessThanOrEqual">
      <formula>1</formula>
    </cfRule>
    <cfRule type="cellIs" dxfId="45" priority="11" stopIfTrue="1" operator="between">
      <formula>4</formula>
      <formula>5</formula>
    </cfRule>
    <cfRule type="cellIs" dxfId="44" priority="12" stopIfTrue="1" operator="between">
      <formula>2</formula>
      <formula>3.5</formula>
    </cfRule>
  </conditionalFormatting>
  <conditionalFormatting sqref="C16:C25">
    <cfRule type="cellIs" dxfId="43" priority="7" stopIfTrue="1" operator="lessThanOrEqual">
      <formula>1</formula>
    </cfRule>
    <cfRule type="cellIs" dxfId="42" priority="8" stopIfTrue="1" operator="between">
      <formula>2</formula>
      <formula>3.5</formula>
    </cfRule>
    <cfRule type="cellIs" dxfId="41" priority="9" stopIfTrue="1" operator="greaterThanOrEqual">
      <formula>4</formula>
    </cfRule>
  </conditionalFormatting>
  <conditionalFormatting sqref="B40:B49">
    <cfRule type="cellIs" dxfId="40" priority="4" stopIfTrue="1" operator="lessThanOrEqual">
      <formula>1</formula>
    </cfRule>
    <cfRule type="cellIs" dxfId="39" priority="5" stopIfTrue="1" operator="between">
      <formula>4</formula>
      <formula>5</formula>
    </cfRule>
    <cfRule type="cellIs" dxfId="38" priority="6" stopIfTrue="1" operator="between">
      <formula>2</formula>
      <formula>3.5</formula>
    </cfRule>
  </conditionalFormatting>
  <conditionalFormatting sqref="C40:C49">
    <cfRule type="cellIs" dxfId="37" priority="1" stopIfTrue="1" operator="lessThanOrEqual">
      <formula>1</formula>
    </cfRule>
    <cfRule type="cellIs" dxfId="36" priority="2" stopIfTrue="1" operator="between">
      <formula>2</formula>
      <formula>3.5</formula>
    </cfRule>
    <cfRule type="cellIs" dxfId="35" priority="3" stopIfTrue="1" operator="greaterThanOrEqual">
      <formula>4</formula>
    </cfRule>
  </conditionalFormatting>
  <dataValidations count="1">
    <dataValidation type="list" allowBlank="1" showInputMessage="1" showErrorMessage="1" sqref="C16:C25 C28:C37 C40:C49 C4:C13" xr:uid="{00000000-0002-0000-0200-000000000000}">
      <formula1>"1,2,3,4,5"</formula1>
    </dataValidation>
  </dataValidations>
  <pageMargins left="0.75000000000000011" right="0.75000000000000011" top="1" bottom="1" header="0.5" footer="0.5"/>
  <pageSetup orientation="portrait" horizontalDpi="4294967294"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G8"/>
  <sheetViews>
    <sheetView showGridLines="0" showRowColHeaders="0" showRuler="0" workbookViewId="0">
      <selection activeCell="C8" sqref="C8"/>
    </sheetView>
  </sheetViews>
  <sheetFormatPr baseColWidth="10" defaultColWidth="8.83203125" defaultRowHeight="13" x14ac:dyDescent="0.15"/>
  <cols>
    <col min="1" max="1" width="2.6640625" style="30" customWidth="1"/>
    <col min="2" max="2" width="46.6640625" style="30" bestFit="1" customWidth="1"/>
    <col min="3" max="3" width="16.5" style="30" customWidth="1"/>
    <col min="4" max="4" width="13.33203125" style="30" customWidth="1"/>
    <col min="5" max="5" width="89" style="30" customWidth="1"/>
    <col min="6" max="9" width="86.33203125" style="30" customWidth="1"/>
    <col min="10" max="16384" width="8.83203125" style="30"/>
  </cols>
  <sheetData>
    <row r="1" spans="2:7" s="1" customFormat="1" ht="70" customHeight="1" x14ac:dyDescent="0.15">
      <c r="B1" s="75" t="s">
        <v>13</v>
      </c>
      <c r="C1" s="75"/>
      <c r="D1" s="75"/>
      <c r="E1" s="75"/>
    </row>
    <row r="2" spans="2:7" s="63" customFormat="1" ht="24" customHeight="1" x14ac:dyDescent="0.15">
      <c r="B2" s="67" t="s">
        <v>161</v>
      </c>
      <c r="C2" s="61"/>
      <c r="D2" s="61"/>
      <c r="E2" s="61"/>
      <c r="F2" s="61"/>
      <c r="G2" s="62"/>
    </row>
    <row r="3" spans="2:7" ht="39" customHeight="1" x14ac:dyDescent="0.15">
      <c r="B3" s="33" t="s">
        <v>70</v>
      </c>
      <c r="C3" s="32" t="s">
        <v>10</v>
      </c>
      <c r="D3" s="32" t="s">
        <v>163</v>
      </c>
      <c r="E3" s="32" t="s">
        <v>160</v>
      </c>
    </row>
    <row r="4" spans="2:7" ht="64.5" customHeight="1" x14ac:dyDescent="0.15">
      <c r="B4" s="34" t="str">
        <f>'Self Assessment'!B3:D3</f>
        <v>Brand Strategy</v>
      </c>
      <c r="C4" s="31">
        <f>AVERAGE('Self Assessment'!C4:C13)</f>
        <v>3.6</v>
      </c>
      <c r="D4" s="39">
        <f>Weighting!B$4</f>
        <v>0.25</v>
      </c>
      <c r="E4" s="74"/>
    </row>
    <row r="5" spans="2:7" ht="64.5" customHeight="1" x14ac:dyDescent="0.15">
      <c r="B5" s="34" t="str">
        <f>'Self Assessment'!B15:D15</f>
        <v>Brand Alignment</v>
      </c>
      <c r="C5" s="31">
        <f>AVERAGE('Self Assessment'!C16:C25)</f>
        <v>2.6</v>
      </c>
      <c r="D5" s="39">
        <f>Weighting!C$4</f>
        <v>0.25</v>
      </c>
      <c r="E5" s="74"/>
    </row>
    <row r="6" spans="2:7" ht="64.5" customHeight="1" x14ac:dyDescent="0.15">
      <c r="B6" s="34" t="str">
        <f>'Self Assessment'!B27:D27</f>
        <v>Brand Communication</v>
      </c>
      <c r="C6" s="31">
        <f>AVERAGE('Self Assessment'!C28:C37)</f>
        <v>1.6</v>
      </c>
      <c r="D6" s="39">
        <f>Weighting!D$4</f>
        <v>0.25</v>
      </c>
      <c r="E6" s="74"/>
    </row>
    <row r="7" spans="2:7" ht="64.5" customHeight="1" x14ac:dyDescent="0.15">
      <c r="B7" s="34" t="str">
        <f>'Self Assessment'!B39:D39</f>
        <v>Brand Execution</v>
      </c>
      <c r="C7" s="36">
        <f>AVERAGE('Self Assessment'!C40:C49)</f>
        <v>4.2</v>
      </c>
      <c r="D7" s="39">
        <f>Weighting!E$4</f>
        <v>0.25</v>
      </c>
      <c r="E7" s="74"/>
    </row>
    <row r="8" spans="2:7" ht="59" customHeight="1" x14ac:dyDescent="0.15">
      <c r="B8" s="35" t="s">
        <v>157</v>
      </c>
      <c r="C8" s="37">
        <f>(C4*Weighting!B4)+(C5*Weighting!C4)+(C6*Weighting!D4)+(C7*Weighting!E4)</f>
        <v>3</v>
      </c>
      <c r="D8" s="38">
        <f>SUM(D4:D7)</f>
        <v>1</v>
      </c>
      <c r="E8" s="74"/>
    </row>
  </sheetData>
  <mergeCells count="2">
    <mergeCell ref="E4:E8"/>
    <mergeCell ref="B1:E1"/>
  </mergeCells>
  <phoneticPr fontId="3" type="noConversion"/>
  <conditionalFormatting sqref="C4:C7">
    <cfRule type="cellIs" dxfId="34" priority="11" stopIfTrue="1" operator="lessThanOrEqual">
      <formula>1.99999999999999</formula>
    </cfRule>
    <cfRule type="cellIs" dxfId="33" priority="12" stopIfTrue="1" operator="between">
      <formula>2</formula>
      <formula>3.99999999999999</formula>
    </cfRule>
    <cfRule type="cellIs" dxfId="32" priority="13" stopIfTrue="1" operator="between">
      <formula>4</formula>
      <formula>5</formula>
    </cfRule>
  </conditionalFormatting>
  <conditionalFormatting sqref="C8">
    <cfRule type="cellIs" dxfId="31" priority="2" stopIfTrue="1" operator="lessThanOrEqual">
      <formula>1.99999999999999</formula>
    </cfRule>
    <cfRule type="cellIs" dxfId="30" priority="3" stopIfTrue="1" operator="between">
      <formula>2</formula>
      <formula>3.99999999999999</formula>
    </cfRule>
    <cfRule type="cellIs" dxfId="29" priority="4" stopIfTrue="1" operator="between">
      <formula>4</formula>
      <formula>5</formula>
    </cfRule>
  </conditionalFormatting>
  <conditionalFormatting sqref="D8">
    <cfRule type="cellIs" dxfId="28" priority="1" operator="notEqual">
      <formula>100%</formula>
    </cfRule>
  </conditionalFormatting>
  <pageMargins left="0.71" right="0.71" top="0.75000000000000011" bottom="0.75000000000000011" header="0.31" footer="0.31"/>
  <pageSetup orientation="portrait" r:id="rId1"/>
  <ignoredErrors>
    <ignoredError sqref="B6"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03"/>
  <sheetViews>
    <sheetView showGridLines="0" showRowColHeaders="0" showRuler="0" workbookViewId="0">
      <pane ySplit="3" topLeftCell="A4" activePane="bottomLeft" state="frozen"/>
      <selection pane="bottomLeft" activeCell="B4" sqref="B4:E4"/>
    </sheetView>
  </sheetViews>
  <sheetFormatPr baseColWidth="10" defaultColWidth="8.83203125" defaultRowHeight="12" x14ac:dyDescent="0.15"/>
  <cols>
    <col min="1" max="1" width="2.6640625" style="41" customWidth="1"/>
    <col min="2" max="2" width="61" style="41" customWidth="1"/>
    <col min="3" max="3" width="12.33203125" style="41" customWidth="1"/>
    <col min="4" max="4" width="68.5" style="41" customWidth="1"/>
    <col min="5" max="5" width="23.6640625" style="41" customWidth="1"/>
    <col min="6" max="16384" width="8.83203125" style="41"/>
  </cols>
  <sheetData>
    <row r="1" spans="1:5" s="1" customFormat="1" ht="70" customHeight="1" x14ac:dyDescent="0.15">
      <c r="B1" s="75" t="s">
        <v>13</v>
      </c>
      <c r="C1" s="75"/>
      <c r="D1" s="75"/>
      <c r="E1" s="75"/>
    </row>
    <row r="2" spans="1:5" s="64" customFormat="1" ht="24" customHeight="1" x14ac:dyDescent="0.15">
      <c r="B2" s="79" t="s">
        <v>162</v>
      </c>
      <c r="C2" s="79"/>
      <c r="D2" s="79"/>
      <c r="E2" s="79"/>
    </row>
    <row r="3" spans="1:5" ht="39" customHeight="1" x14ac:dyDescent="0.15">
      <c r="B3" s="26" t="s">
        <v>70</v>
      </c>
      <c r="C3" s="27" t="s">
        <v>1</v>
      </c>
      <c r="D3" s="26" t="s">
        <v>2</v>
      </c>
      <c r="E3" s="40" t="s">
        <v>158</v>
      </c>
    </row>
    <row r="4" spans="1:5" s="42" customFormat="1" ht="39" customHeight="1" x14ac:dyDescent="0.25">
      <c r="B4" s="73" t="str">
        <f>'Self Assessment'!B3:D3</f>
        <v>Brand Strategy</v>
      </c>
      <c r="C4" s="73"/>
      <c r="D4" s="73"/>
      <c r="E4" s="73"/>
    </row>
    <row r="5" spans="1:5" ht="50" customHeight="1" x14ac:dyDescent="0.15">
      <c r="B5" s="65" t="s">
        <v>71</v>
      </c>
      <c r="C5" s="66">
        <f>'Self Assessment'!C4</f>
        <v>2</v>
      </c>
      <c r="D5" s="65" t="s">
        <v>111</v>
      </c>
      <c r="E5" s="48"/>
    </row>
    <row r="6" spans="1:5" ht="50" customHeight="1" x14ac:dyDescent="0.15">
      <c r="B6" s="65" t="s">
        <v>72</v>
      </c>
      <c r="C6" s="66">
        <f>'Self Assessment'!C5</f>
        <v>5</v>
      </c>
      <c r="D6" s="65" t="s">
        <v>112</v>
      </c>
      <c r="E6" s="48"/>
    </row>
    <row r="7" spans="1:5" ht="50" customHeight="1" x14ac:dyDescent="0.15">
      <c r="B7" s="65" t="s">
        <v>73</v>
      </c>
      <c r="C7" s="66">
        <f>'Self Assessment'!C6</f>
        <v>3</v>
      </c>
      <c r="D7" s="65" t="s">
        <v>113</v>
      </c>
      <c r="E7" s="48"/>
    </row>
    <row r="8" spans="1:5" ht="50" customHeight="1" x14ac:dyDescent="0.15">
      <c r="B8" s="65" t="s">
        <v>74</v>
      </c>
      <c r="C8" s="66">
        <f>'Self Assessment'!C7</f>
        <v>4</v>
      </c>
      <c r="D8" s="65" t="s">
        <v>114</v>
      </c>
      <c r="E8" s="48"/>
    </row>
    <row r="9" spans="1:5" ht="50" customHeight="1" x14ac:dyDescent="0.15">
      <c r="B9" s="65" t="s">
        <v>75</v>
      </c>
      <c r="C9" s="66">
        <f>'Self Assessment'!C8</f>
        <v>1</v>
      </c>
      <c r="D9" s="65" t="s">
        <v>115</v>
      </c>
      <c r="E9" s="48"/>
    </row>
    <row r="10" spans="1:5" ht="50" customHeight="1" x14ac:dyDescent="0.15">
      <c r="B10" s="65" t="s">
        <v>76</v>
      </c>
      <c r="C10" s="66">
        <f>'Self Assessment'!C9</f>
        <v>4</v>
      </c>
      <c r="D10" s="65" t="s">
        <v>116</v>
      </c>
      <c r="E10" s="48"/>
    </row>
    <row r="11" spans="1:5" ht="50" customHeight="1" x14ac:dyDescent="0.15">
      <c r="B11" s="65" t="s">
        <v>77</v>
      </c>
      <c r="C11" s="66">
        <f>'Self Assessment'!C10</f>
        <v>5</v>
      </c>
      <c r="D11" s="65" t="s">
        <v>117</v>
      </c>
      <c r="E11" s="48"/>
    </row>
    <row r="12" spans="1:5" ht="50" customHeight="1" x14ac:dyDescent="0.15">
      <c r="B12" s="65" t="s">
        <v>78</v>
      </c>
      <c r="C12" s="66">
        <f>'Self Assessment'!C11</f>
        <v>3</v>
      </c>
      <c r="D12" s="65" t="s">
        <v>118</v>
      </c>
      <c r="E12" s="48"/>
    </row>
    <row r="13" spans="1:5" ht="50" customHeight="1" x14ac:dyDescent="0.15">
      <c r="B13" s="65" t="s">
        <v>79</v>
      </c>
      <c r="C13" s="66">
        <f>'Self Assessment'!C12</f>
        <v>4</v>
      </c>
      <c r="D13" s="65" t="s">
        <v>119</v>
      </c>
      <c r="E13" s="48"/>
    </row>
    <row r="14" spans="1:5" ht="50" customHeight="1" x14ac:dyDescent="0.15">
      <c r="B14" s="65" t="s">
        <v>80</v>
      </c>
      <c r="C14" s="66">
        <f>'Self Assessment'!C13</f>
        <v>5</v>
      </c>
      <c r="D14" s="65" t="s">
        <v>120</v>
      </c>
      <c r="E14" s="48"/>
    </row>
    <row r="15" spans="1:5" ht="20" customHeight="1" x14ac:dyDescent="0.15">
      <c r="A15" s="76" t="s">
        <v>113</v>
      </c>
      <c r="B15" s="76"/>
      <c r="C15" s="76"/>
      <c r="D15" s="76"/>
    </row>
    <row r="16" spans="1:5" s="42" customFormat="1" ht="39" customHeight="1" x14ac:dyDescent="0.25">
      <c r="B16" s="77" t="str">
        <f>'Self Assessment'!B15:D15</f>
        <v>Brand Alignment</v>
      </c>
      <c r="C16" s="78"/>
      <c r="D16" s="78"/>
      <c r="E16" s="78"/>
    </row>
    <row r="17" spans="1:5" ht="50" customHeight="1" x14ac:dyDescent="0.15">
      <c r="B17" s="65" t="s">
        <v>81</v>
      </c>
      <c r="C17" s="66">
        <f>'Self Assessment'!C16</f>
        <v>2</v>
      </c>
      <c r="D17" s="65" t="s">
        <v>121</v>
      </c>
      <c r="E17" s="48"/>
    </row>
    <row r="18" spans="1:5" ht="50" customHeight="1" x14ac:dyDescent="0.15">
      <c r="B18" s="65" t="s">
        <v>82</v>
      </c>
      <c r="C18" s="66">
        <f>'Self Assessment'!C17</f>
        <v>1</v>
      </c>
      <c r="D18" s="65" t="s">
        <v>122</v>
      </c>
      <c r="E18" s="48"/>
    </row>
    <row r="19" spans="1:5" ht="50" customHeight="1" x14ac:dyDescent="0.15">
      <c r="B19" s="65" t="s">
        <v>83</v>
      </c>
      <c r="C19" s="66">
        <f>'Self Assessment'!C18</f>
        <v>3</v>
      </c>
      <c r="D19" s="65" t="s">
        <v>123</v>
      </c>
      <c r="E19" s="48"/>
    </row>
    <row r="20" spans="1:5" ht="50" customHeight="1" x14ac:dyDescent="0.15">
      <c r="B20" s="65" t="s">
        <v>84</v>
      </c>
      <c r="C20" s="66">
        <f>'Self Assessment'!C19</f>
        <v>5</v>
      </c>
      <c r="D20" s="65" t="s">
        <v>124</v>
      </c>
      <c r="E20" s="48"/>
    </row>
    <row r="21" spans="1:5" ht="50" customHeight="1" x14ac:dyDescent="0.15">
      <c r="B21" s="65" t="s">
        <v>85</v>
      </c>
      <c r="C21" s="66">
        <f>'Self Assessment'!C20</f>
        <v>1</v>
      </c>
      <c r="D21" s="65" t="s">
        <v>125</v>
      </c>
      <c r="E21" s="48"/>
    </row>
    <row r="22" spans="1:5" ht="50" customHeight="1" x14ac:dyDescent="0.15">
      <c r="B22" s="65" t="s">
        <v>86</v>
      </c>
      <c r="C22" s="66">
        <f>'Self Assessment'!C21</f>
        <v>4</v>
      </c>
      <c r="D22" s="65" t="s">
        <v>126</v>
      </c>
      <c r="E22" s="48"/>
    </row>
    <row r="23" spans="1:5" ht="50" customHeight="1" x14ac:dyDescent="0.15">
      <c r="B23" s="65" t="s">
        <v>87</v>
      </c>
      <c r="C23" s="66">
        <f>'Self Assessment'!C22</f>
        <v>2</v>
      </c>
      <c r="D23" s="65" t="s">
        <v>127</v>
      </c>
      <c r="E23" s="48"/>
    </row>
    <row r="24" spans="1:5" ht="50" customHeight="1" x14ac:dyDescent="0.15">
      <c r="B24" s="65" t="s">
        <v>88</v>
      </c>
      <c r="C24" s="66">
        <f>'Self Assessment'!C23</f>
        <v>3</v>
      </c>
      <c r="D24" s="65" t="s">
        <v>128</v>
      </c>
      <c r="E24" s="48"/>
    </row>
    <row r="25" spans="1:5" ht="50" customHeight="1" x14ac:dyDescent="0.15">
      <c r="B25" s="65" t="s">
        <v>89</v>
      </c>
      <c r="C25" s="66">
        <f>'Self Assessment'!C24</f>
        <v>1</v>
      </c>
      <c r="D25" s="65" t="s">
        <v>129</v>
      </c>
      <c r="E25" s="48"/>
    </row>
    <row r="26" spans="1:5" ht="50" customHeight="1" x14ac:dyDescent="0.15">
      <c r="B26" s="65" t="s">
        <v>90</v>
      </c>
      <c r="C26" s="66">
        <f>'Self Assessment'!C25</f>
        <v>4</v>
      </c>
      <c r="D26" s="65" t="s">
        <v>130</v>
      </c>
      <c r="E26" s="48"/>
    </row>
    <row r="27" spans="1:5" ht="20" customHeight="1" x14ac:dyDescent="0.15">
      <c r="A27" s="76" t="s">
        <v>113</v>
      </c>
      <c r="B27" s="76"/>
      <c r="C27" s="76"/>
      <c r="D27" s="76"/>
    </row>
    <row r="28" spans="1:5" s="42" customFormat="1" ht="39" customHeight="1" x14ac:dyDescent="0.25">
      <c r="B28" s="77" t="str">
        <f>'Self Assessment'!B27:D27</f>
        <v>Brand Communication</v>
      </c>
      <c r="C28" s="78"/>
      <c r="D28" s="78"/>
      <c r="E28" s="78"/>
    </row>
    <row r="29" spans="1:5" ht="50" customHeight="1" x14ac:dyDescent="0.15">
      <c r="B29" s="65" t="s">
        <v>91</v>
      </c>
      <c r="C29" s="66">
        <f>'Self Assessment'!C28</f>
        <v>1</v>
      </c>
      <c r="D29" s="65" t="s">
        <v>131</v>
      </c>
      <c r="E29" s="48"/>
    </row>
    <row r="30" spans="1:5" ht="50" customHeight="1" x14ac:dyDescent="0.15">
      <c r="B30" s="65" t="s">
        <v>92</v>
      </c>
      <c r="C30" s="66">
        <f>'Self Assessment'!C29</f>
        <v>2</v>
      </c>
      <c r="D30" s="65" t="s">
        <v>132</v>
      </c>
      <c r="E30" s="48"/>
    </row>
    <row r="31" spans="1:5" ht="50" customHeight="1" x14ac:dyDescent="0.15">
      <c r="B31" s="65" t="s">
        <v>93</v>
      </c>
      <c r="C31" s="66">
        <f>'Self Assessment'!C30</f>
        <v>1</v>
      </c>
      <c r="D31" s="65" t="s">
        <v>133</v>
      </c>
      <c r="E31" s="48"/>
    </row>
    <row r="32" spans="1:5" ht="50" customHeight="1" x14ac:dyDescent="0.15">
      <c r="B32" s="65" t="s">
        <v>94</v>
      </c>
      <c r="C32" s="66">
        <f>'Self Assessment'!C31</f>
        <v>1</v>
      </c>
      <c r="D32" s="65" t="s">
        <v>134</v>
      </c>
      <c r="E32" s="48"/>
    </row>
    <row r="33" spans="1:5" ht="50" customHeight="1" x14ac:dyDescent="0.15">
      <c r="B33" s="65" t="s">
        <v>95</v>
      </c>
      <c r="C33" s="66">
        <f>'Self Assessment'!C32</f>
        <v>4</v>
      </c>
      <c r="D33" s="65" t="s">
        <v>135</v>
      </c>
      <c r="E33" s="48"/>
    </row>
    <row r="34" spans="1:5" ht="50" customHeight="1" x14ac:dyDescent="0.15">
      <c r="B34" s="65" t="s">
        <v>96</v>
      </c>
      <c r="C34" s="66">
        <f>'Self Assessment'!C33</f>
        <v>1</v>
      </c>
      <c r="D34" s="65" t="s">
        <v>136</v>
      </c>
      <c r="E34" s="48"/>
    </row>
    <row r="35" spans="1:5" ht="50" customHeight="1" x14ac:dyDescent="0.15">
      <c r="B35" s="65" t="s">
        <v>97</v>
      </c>
      <c r="C35" s="66">
        <f>'Self Assessment'!C34</f>
        <v>2</v>
      </c>
      <c r="D35" s="65" t="s">
        <v>137</v>
      </c>
      <c r="E35" s="48"/>
    </row>
    <row r="36" spans="1:5" ht="50" customHeight="1" x14ac:dyDescent="0.15">
      <c r="B36" s="65" t="s">
        <v>98</v>
      </c>
      <c r="C36" s="66">
        <f>'Self Assessment'!C35</f>
        <v>2</v>
      </c>
      <c r="D36" s="65" t="s">
        <v>138</v>
      </c>
      <c r="E36" s="48"/>
    </row>
    <row r="37" spans="1:5" ht="50" customHeight="1" x14ac:dyDescent="0.15">
      <c r="B37" s="65" t="s">
        <v>99</v>
      </c>
      <c r="C37" s="66">
        <f>'Self Assessment'!C36</f>
        <v>1</v>
      </c>
      <c r="D37" s="65" t="s">
        <v>139</v>
      </c>
      <c r="E37" s="48"/>
    </row>
    <row r="38" spans="1:5" ht="50" customHeight="1" x14ac:dyDescent="0.15">
      <c r="B38" s="65" t="s">
        <v>100</v>
      </c>
      <c r="C38" s="66">
        <f>'Self Assessment'!C37</f>
        <v>1</v>
      </c>
      <c r="D38" s="65" t="s">
        <v>140</v>
      </c>
      <c r="E38" s="48"/>
    </row>
    <row r="39" spans="1:5" ht="20" customHeight="1" x14ac:dyDescent="0.15">
      <c r="A39" s="76" t="s">
        <v>113</v>
      </c>
      <c r="B39" s="76"/>
      <c r="C39" s="76"/>
      <c r="D39" s="76"/>
    </row>
    <row r="40" spans="1:5" s="42" customFormat="1" ht="39" customHeight="1" x14ac:dyDescent="0.25">
      <c r="B40" s="77" t="str">
        <f>'Self Assessment'!B39:D39</f>
        <v>Brand Execution</v>
      </c>
      <c r="C40" s="78"/>
      <c r="D40" s="78"/>
      <c r="E40" s="78"/>
    </row>
    <row r="41" spans="1:5" ht="50" customHeight="1" x14ac:dyDescent="0.15">
      <c r="B41" s="65" t="s">
        <v>101</v>
      </c>
      <c r="C41" s="66">
        <f>'Self Assessment'!C40</f>
        <v>4</v>
      </c>
      <c r="D41" s="65" t="s">
        <v>141</v>
      </c>
      <c r="E41" s="48"/>
    </row>
    <row r="42" spans="1:5" ht="50" customHeight="1" x14ac:dyDescent="0.15">
      <c r="B42" s="65" t="s">
        <v>102</v>
      </c>
      <c r="C42" s="66">
        <f>'Self Assessment'!C41</f>
        <v>5</v>
      </c>
      <c r="D42" s="65" t="s">
        <v>142</v>
      </c>
      <c r="E42" s="48"/>
    </row>
    <row r="43" spans="1:5" ht="50" customHeight="1" x14ac:dyDescent="0.15">
      <c r="B43" s="65" t="s">
        <v>103</v>
      </c>
      <c r="C43" s="66">
        <f>'Self Assessment'!C42</f>
        <v>3</v>
      </c>
      <c r="D43" s="65" t="s">
        <v>143</v>
      </c>
      <c r="E43" s="48"/>
    </row>
    <row r="44" spans="1:5" ht="50" customHeight="1" x14ac:dyDescent="0.15">
      <c r="B44" s="65" t="s">
        <v>104</v>
      </c>
      <c r="C44" s="66">
        <f>'Self Assessment'!C43</f>
        <v>1</v>
      </c>
      <c r="D44" s="65" t="s">
        <v>144</v>
      </c>
      <c r="E44" s="48"/>
    </row>
    <row r="45" spans="1:5" ht="50" customHeight="1" x14ac:dyDescent="0.15">
      <c r="B45" s="65" t="s">
        <v>105</v>
      </c>
      <c r="C45" s="66">
        <f>'Self Assessment'!C44</f>
        <v>5</v>
      </c>
      <c r="D45" s="65" t="s">
        <v>145</v>
      </c>
      <c r="E45" s="48"/>
    </row>
    <row r="46" spans="1:5" ht="50" customHeight="1" x14ac:dyDescent="0.15">
      <c r="B46" s="65" t="s">
        <v>106</v>
      </c>
      <c r="C46" s="66">
        <f>'Self Assessment'!C45</f>
        <v>4</v>
      </c>
      <c r="D46" s="65" t="s">
        <v>146</v>
      </c>
      <c r="E46" s="48"/>
    </row>
    <row r="47" spans="1:5" ht="50" customHeight="1" x14ac:dyDescent="0.15">
      <c r="B47" s="65" t="s">
        <v>107</v>
      </c>
      <c r="C47" s="66">
        <f>'Self Assessment'!C46</f>
        <v>5</v>
      </c>
      <c r="D47" s="65" t="s">
        <v>147</v>
      </c>
      <c r="E47" s="48"/>
    </row>
    <row r="48" spans="1:5" ht="50" customHeight="1" x14ac:dyDescent="0.15">
      <c r="B48" s="65" t="s">
        <v>108</v>
      </c>
      <c r="C48" s="66">
        <f>'Self Assessment'!C47</f>
        <v>5</v>
      </c>
      <c r="D48" s="65" t="s">
        <v>148</v>
      </c>
      <c r="E48" s="48"/>
    </row>
    <row r="49" spans="1:5" ht="50" customHeight="1" x14ac:dyDescent="0.15">
      <c r="B49" s="65" t="s">
        <v>109</v>
      </c>
      <c r="C49" s="66">
        <f>'Self Assessment'!C48</f>
        <v>5</v>
      </c>
      <c r="D49" s="65" t="s">
        <v>149</v>
      </c>
      <c r="E49" s="48"/>
    </row>
    <row r="50" spans="1:5" ht="50" customHeight="1" x14ac:dyDescent="0.15">
      <c r="B50" s="65" t="s">
        <v>110</v>
      </c>
      <c r="C50" s="66">
        <f>'Self Assessment'!C49</f>
        <v>5</v>
      </c>
      <c r="D50" s="65" t="s">
        <v>150</v>
      </c>
      <c r="E50" s="48"/>
    </row>
    <row r="51" spans="1:5" ht="26" customHeight="1" x14ac:dyDescent="0.15">
      <c r="A51" s="43"/>
      <c r="B51" s="43"/>
      <c r="C51" s="43"/>
      <c r="D51" s="43"/>
    </row>
    <row r="52" spans="1:5" ht="13" customHeight="1" x14ac:dyDescent="0.15">
      <c r="A52" s="76" t="s">
        <v>111</v>
      </c>
      <c r="B52" s="76"/>
      <c r="C52" s="76"/>
      <c r="D52" s="76"/>
    </row>
    <row r="53" spans="1:5" ht="13" customHeight="1" x14ac:dyDescent="0.15">
      <c r="A53" s="76" t="s">
        <v>112</v>
      </c>
      <c r="B53" s="76"/>
      <c r="C53" s="76"/>
      <c r="D53" s="76"/>
    </row>
    <row r="54" spans="1:5" ht="20" customHeight="1" x14ac:dyDescent="0.15">
      <c r="A54" s="76" t="s">
        <v>113</v>
      </c>
      <c r="B54" s="76"/>
      <c r="C54" s="76"/>
      <c r="D54" s="76"/>
    </row>
    <row r="55" spans="1:5" ht="13" customHeight="1" x14ac:dyDescent="0.15">
      <c r="A55" s="76" t="s">
        <v>114</v>
      </c>
      <c r="B55" s="76"/>
      <c r="C55" s="76"/>
      <c r="D55" s="76"/>
    </row>
    <row r="56" spans="1:5" ht="13" customHeight="1" x14ac:dyDescent="0.15">
      <c r="A56" s="76" t="s">
        <v>115</v>
      </c>
      <c r="B56" s="76"/>
      <c r="C56" s="76"/>
      <c r="D56" s="76"/>
    </row>
    <row r="57" spans="1:5" ht="13" customHeight="1" x14ac:dyDescent="0.15">
      <c r="A57" s="76" t="s">
        <v>116</v>
      </c>
      <c r="B57" s="76"/>
      <c r="C57" s="76"/>
      <c r="D57" s="76"/>
    </row>
    <row r="58" spans="1:5" ht="13" customHeight="1" x14ac:dyDescent="0.15">
      <c r="A58" s="76" t="s">
        <v>117</v>
      </c>
      <c r="B58" s="76"/>
      <c r="C58" s="76"/>
      <c r="D58" s="76"/>
    </row>
    <row r="59" spans="1:5" ht="13" customHeight="1" x14ac:dyDescent="0.15">
      <c r="A59" s="76" t="s">
        <v>118</v>
      </c>
      <c r="B59" s="76"/>
      <c r="C59" s="76"/>
      <c r="D59" s="76"/>
    </row>
    <row r="60" spans="1:5" ht="13" customHeight="1" x14ac:dyDescent="0.15">
      <c r="A60" s="76" t="s">
        <v>119</v>
      </c>
      <c r="B60" s="76"/>
      <c r="C60" s="76"/>
      <c r="D60" s="76"/>
    </row>
    <row r="61" spans="1:5" ht="13" x14ac:dyDescent="0.15">
      <c r="A61" s="76" t="s">
        <v>120</v>
      </c>
      <c r="B61" s="76"/>
      <c r="C61" s="76"/>
      <c r="D61" s="76"/>
    </row>
    <row r="62" spans="1:5" ht="13" x14ac:dyDescent="0.15">
      <c r="A62" s="44"/>
      <c r="B62" s="44"/>
      <c r="C62" s="44"/>
      <c r="D62" s="44"/>
    </row>
    <row r="73" spans="1:4" ht="13" x14ac:dyDescent="0.15">
      <c r="A73" s="44"/>
      <c r="B73" s="44"/>
      <c r="C73" s="44"/>
      <c r="D73" s="44"/>
    </row>
    <row r="84" spans="1:4" ht="13" x14ac:dyDescent="0.15">
      <c r="A84" s="44"/>
      <c r="B84" s="44"/>
      <c r="C84" s="44"/>
      <c r="D84" s="44"/>
    </row>
    <row r="95" spans="1:4" x14ac:dyDescent="0.15">
      <c r="A95" s="45"/>
      <c r="B95" s="45"/>
      <c r="C95" s="45"/>
      <c r="D95" s="45"/>
    </row>
    <row r="96" spans="1:4" x14ac:dyDescent="0.15">
      <c r="A96" s="46"/>
      <c r="B96" s="46"/>
      <c r="C96" s="46"/>
      <c r="D96" s="46"/>
    </row>
    <row r="97" spans="1:4" x14ac:dyDescent="0.15">
      <c r="A97" s="43"/>
      <c r="B97" s="43"/>
      <c r="C97" s="43"/>
      <c r="D97" s="43"/>
    </row>
    <row r="98" spans="1:4" x14ac:dyDescent="0.15">
      <c r="A98" s="43"/>
      <c r="B98" s="43"/>
      <c r="C98" s="43"/>
      <c r="D98" s="43"/>
    </row>
    <row r="99" spans="1:4" x14ac:dyDescent="0.15">
      <c r="A99" s="43"/>
      <c r="B99" s="43"/>
      <c r="C99" s="43"/>
      <c r="D99" s="43"/>
    </row>
    <row r="100" spans="1:4" x14ac:dyDescent="0.15">
      <c r="A100" s="43"/>
      <c r="B100" s="43"/>
      <c r="C100" s="43"/>
      <c r="D100" s="43"/>
    </row>
    <row r="101" spans="1:4" x14ac:dyDescent="0.15">
      <c r="A101" s="47"/>
      <c r="B101" s="47"/>
      <c r="C101" s="47"/>
      <c r="D101" s="47"/>
    </row>
    <row r="102" spans="1:4" x14ac:dyDescent="0.15">
      <c r="A102" s="47"/>
      <c r="B102" s="47"/>
      <c r="C102" s="47"/>
      <c r="D102" s="47"/>
    </row>
    <row r="103" spans="1:4" x14ac:dyDescent="0.15">
      <c r="A103" s="47"/>
      <c r="B103" s="47"/>
      <c r="C103" s="47"/>
      <c r="D103" s="47"/>
    </row>
  </sheetData>
  <mergeCells count="19">
    <mergeCell ref="A52:D52"/>
    <mergeCell ref="A53:D53"/>
    <mergeCell ref="A54:D54"/>
    <mergeCell ref="A55:D55"/>
    <mergeCell ref="A56:D56"/>
    <mergeCell ref="A57:D57"/>
    <mergeCell ref="A58:D58"/>
    <mergeCell ref="A59:D59"/>
    <mergeCell ref="A60:D60"/>
    <mergeCell ref="A61:D61"/>
    <mergeCell ref="A39:D39"/>
    <mergeCell ref="A27:D27"/>
    <mergeCell ref="A15:D15"/>
    <mergeCell ref="B40:E40"/>
    <mergeCell ref="B1:E1"/>
    <mergeCell ref="B4:E4"/>
    <mergeCell ref="B16:E16"/>
    <mergeCell ref="B28:E28"/>
    <mergeCell ref="B2:E2"/>
  </mergeCells>
  <phoneticPr fontId="0" type="noConversion"/>
  <conditionalFormatting sqref="B5:B14">
    <cfRule type="containsText" dxfId="27" priority="25" stopIfTrue="1" operator="containsText" text="0">
      <formula>NOT(ISERROR(SEARCH("0",B5)))</formula>
    </cfRule>
    <cfRule type="cellIs" dxfId="26" priority="26" stopIfTrue="1" operator="lessThanOrEqual">
      <formula>1.99999999999999</formula>
    </cfRule>
    <cfRule type="cellIs" dxfId="25" priority="27" stopIfTrue="1" operator="between">
      <formula>2</formula>
      <formula>3.99999999999999</formula>
    </cfRule>
    <cfRule type="cellIs" dxfId="24" priority="28" stopIfTrue="1" operator="between">
      <formula>4</formula>
      <formula>5</formula>
    </cfRule>
  </conditionalFormatting>
  <conditionalFormatting sqref="C5:C14">
    <cfRule type="cellIs" dxfId="23" priority="22" stopIfTrue="1" operator="lessThanOrEqual">
      <formula>1.99999999999999</formula>
    </cfRule>
    <cfRule type="cellIs" dxfId="22" priority="23" stopIfTrue="1" operator="between">
      <formula>2</formula>
      <formula>3.99999999999999</formula>
    </cfRule>
    <cfRule type="cellIs" dxfId="21" priority="24" stopIfTrue="1" operator="between">
      <formula>4</formula>
      <formula>5</formula>
    </cfRule>
  </conditionalFormatting>
  <conditionalFormatting sqref="B17:B26">
    <cfRule type="containsText" dxfId="20" priority="18" stopIfTrue="1" operator="containsText" text="0">
      <formula>NOT(ISERROR(SEARCH("0",B17)))</formula>
    </cfRule>
    <cfRule type="cellIs" dxfId="19" priority="19" stopIfTrue="1" operator="lessThanOrEqual">
      <formula>1.99999999999999</formula>
    </cfRule>
    <cfRule type="cellIs" dxfId="18" priority="20" stopIfTrue="1" operator="between">
      <formula>2</formula>
      <formula>3.99999999999999</formula>
    </cfRule>
    <cfRule type="cellIs" dxfId="17" priority="21" stopIfTrue="1" operator="between">
      <formula>4</formula>
      <formula>5</formula>
    </cfRule>
  </conditionalFormatting>
  <conditionalFormatting sqref="C17:C26">
    <cfRule type="cellIs" dxfId="16" priority="15" stopIfTrue="1" operator="lessThanOrEqual">
      <formula>1.99999999999999</formula>
    </cfRule>
    <cfRule type="cellIs" dxfId="15" priority="16" stopIfTrue="1" operator="between">
      <formula>2</formula>
      <formula>3.99999999999999</formula>
    </cfRule>
    <cfRule type="cellIs" dxfId="14" priority="17" stopIfTrue="1" operator="between">
      <formula>4</formula>
      <formula>5</formula>
    </cfRule>
  </conditionalFormatting>
  <conditionalFormatting sqref="B29:B38">
    <cfRule type="containsText" dxfId="13" priority="11" stopIfTrue="1" operator="containsText" text="0">
      <formula>NOT(ISERROR(SEARCH("0",B29)))</formula>
    </cfRule>
    <cfRule type="cellIs" dxfId="12" priority="12" stopIfTrue="1" operator="lessThanOrEqual">
      <formula>1.99999999999999</formula>
    </cfRule>
    <cfRule type="cellIs" dxfId="11" priority="13" stopIfTrue="1" operator="between">
      <formula>2</formula>
      <formula>3.99999999999999</formula>
    </cfRule>
    <cfRule type="cellIs" dxfId="10" priority="14" stopIfTrue="1" operator="between">
      <formula>4</formula>
      <formula>5</formula>
    </cfRule>
  </conditionalFormatting>
  <conditionalFormatting sqref="C29:C38">
    <cfRule type="cellIs" dxfId="9" priority="8" stopIfTrue="1" operator="lessThanOrEqual">
      <formula>1.99999999999999</formula>
    </cfRule>
    <cfRule type="cellIs" dxfId="8" priority="9" stopIfTrue="1" operator="between">
      <formula>2</formula>
      <formula>3.99999999999999</formula>
    </cfRule>
    <cfRule type="cellIs" dxfId="7" priority="10" stopIfTrue="1" operator="between">
      <formula>4</formula>
      <formula>5</formula>
    </cfRule>
  </conditionalFormatting>
  <conditionalFormatting sqref="B41:B50">
    <cfRule type="containsText" dxfId="6" priority="4" stopIfTrue="1" operator="containsText" text="0">
      <formula>NOT(ISERROR(SEARCH("0",B41)))</formula>
    </cfRule>
    <cfRule type="cellIs" dxfId="5" priority="5" stopIfTrue="1" operator="lessThanOrEqual">
      <formula>1.99999999999999</formula>
    </cfRule>
    <cfRule type="cellIs" dxfId="4" priority="6" stopIfTrue="1" operator="between">
      <formula>2</formula>
      <formula>3.99999999999999</formula>
    </cfRule>
    <cfRule type="cellIs" dxfId="3" priority="7" stopIfTrue="1" operator="between">
      <formula>4</formula>
      <formula>5</formula>
    </cfRule>
  </conditionalFormatting>
  <conditionalFormatting sqref="C41:C50">
    <cfRule type="cellIs" dxfId="2" priority="1" stopIfTrue="1" operator="lessThanOrEqual">
      <formula>1.99999999999999</formula>
    </cfRule>
    <cfRule type="cellIs" dxfId="1" priority="2" stopIfTrue="1" operator="between">
      <formula>2</formula>
      <formula>3.99999999999999</formula>
    </cfRule>
    <cfRule type="cellIs" dxfId="0" priority="3" stopIfTrue="1" operator="between">
      <formula>4</formula>
      <formula>5</formula>
    </cfRule>
  </conditionalFormatting>
  <pageMargins left="0.75000000000000011" right="0.75000000000000011" top="0.98" bottom="0.98" header="0.51" footer="0.5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H16"/>
  <sheetViews>
    <sheetView showGridLines="0" showRowColHeaders="0" showRuler="0" workbookViewId="0">
      <selection activeCell="B3" sqref="B3"/>
    </sheetView>
  </sheetViews>
  <sheetFormatPr baseColWidth="10" defaultColWidth="12.33203125" defaultRowHeight="13" x14ac:dyDescent="0.15"/>
  <cols>
    <col min="1" max="1" width="2.6640625" style="54" customWidth="1"/>
    <col min="2" max="2" width="165.5" style="54" customWidth="1"/>
    <col min="3" max="3" width="60.83203125" style="54" customWidth="1"/>
    <col min="4" max="8" width="13.5" style="54" customWidth="1"/>
    <col min="9" max="16384" width="12.33203125" style="54"/>
  </cols>
  <sheetData>
    <row r="1" spans="2:8" s="1" customFormat="1" ht="70" customHeight="1" x14ac:dyDescent="0.15">
      <c r="B1" s="2" t="s">
        <v>13</v>
      </c>
      <c r="C1" s="2"/>
    </row>
    <row r="2" spans="2:8" s="51" customFormat="1" ht="43" customHeight="1" x14ac:dyDescent="0.15">
      <c r="B2" s="49" t="s">
        <v>159</v>
      </c>
      <c r="C2" s="49"/>
      <c r="D2" s="49"/>
      <c r="E2" s="49"/>
      <c r="F2" s="49"/>
      <c r="G2" s="49"/>
      <c r="H2" s="50"/>
    </row>
    <row r="3" spans="2:8" ht="72" customHeight="1" x14ac:dyDescent="0.15">
      <c r="B3" s="52"/>
      <c r="C3" s="53"/>
      <c r="D3" s="53"/>
      <c r="E3" s="53"/>
      <c r="F3" s="53"/>
      <c r="G3" s="53"/>
      <c r="H3" s="53"/>
    </row>
    <row r="4" spans="2:8" s="57" customFormat="1" ht="42" customHeight="1" x14ac:dyDescent="0.15">
      <c r="B4" s="55" t="s">
        <v>16</v>
      </c>
      <c r="C4" s="56"/>
      <c r="D4" s="56"/>
      <c r="E4" s="56"/>
      <c r="F4" s="56"/>
      <c r="G4" s="56"/>
      <c r="H4" s="53"/>
    </row>
    <row r="5" spans="2:8" s="57" customFormat="1" ht="42" customHeight="1" x14ac:dyDescent="0.15">
      <c r="B5" s="55" t="s">
        <v>18</v>
      </c>
      <c r="C5" s="56"/>
      <c r="D5" s="56"/>
      <c r="E5" s="56"/>
      <c r="F5" s="56"/>
      <c r="G5" s="56"/>
      <c r="H5" s="53"/>
    </row>
    <row r="6" spans="2:8" s="57" customFormat="1" ht="42" customHeight="1" x14ac:dyDescent="0.15">
      <c r="B6" s="55" t="s">
        <v>19</v>
      </c>
      <c r="C6" s="58"/>
      <c r="D6" s="58"/>
      <c r="E6" s="58"/>
      <c r="F6" s="58"/>
      <c r="G6" s="58"/>
    </row>
    <row r="7" spans="2:8" s="57" customFormat="1" ht="42" customHeight="1" x14ac:dyDescent="0.15">
      <c r="B7" s="55" t="s">
        <v>20</v>
      </c>
      <c r="C7" s="58"/>
      <c r="D7" s="58"/>
      <c r="E7" s="58"/>
      <c r="F7" s="58"/>
      <c r="G7" s="58"/>
    </row>
    <row r="8" spans="2:8" s="57" customFormat="1" ht="42" customHeight="1" x14ac:dyDescent="0.15">
      <c r="B8" s="55" t="s">
        <v>25</v>
      </c>
      <c r="C8" s="58"/>
      <c r="D8" s="58"/>
      <c r="E8" s="58"/>
      <c r="F8" s="58"/>
      <c r="G8" s="58"/>
    </row>
    <row r="9" spans="2:8" s="57" customFormat="1" ht="42" customHeight="1" x14ac:dyDescent="0.15">
      <c r="B9" s="55" t="s">
        <v>21</v>
      </c>
      <c r="C9" s="58"/>
      <c r="D9" s="58"/>
      <c r="E9" s="58"/>
      <c r="F9" s="58"/>
      <c r="G9" s="58"/>
    </row>
    <row r="10" spans="2:8" s="57" customFormat="1" ht="42" customHeight="1" x14ac:dyDescent="0.15">
      <c r="B10" s="55" t="s">
        <v>17</v>
      </c>
      <c r="C10" s="56"/>
      <c r="D10" s="56"/>
      <c r="E10" s="56"/>
      <c r="F10" s="56"/>
      <c r="G10" s="56"/>
    </row>
    <row r="11" spans="2:8" s="57" customFormat="1" ht="51" customHeight="1" x14ac:dyDescent="0.15">
      <c r="B11" s="55" t="s">
        <v>22</v>
      </c>
      <c r="C11" s="56"/>
      <c r="D11" s="56"/>
      <c r="E11" s="56"/>
      <c r="F11" s="56"/>
      <c r="G11" s="56"/>
    </row>
    <row r="12" spans="2:8" s="57" customFormat="1" ht="51" customHeight="1" x14ac:dyDescent="0.15">
      <c r="B12" s="55" t="s">
        <v>23</v>
      </c>
      <c r="C12" s="56"/>
      <c r="D12" s="56"/>
      <c r="E12" s="56"/>
      <c r="F12" s="56"/>
      <c r="G12" s="56"/>
    </row>
    <row r="13" spans="2:8" s="57" customFormat="1" ht="51" customHeight="1" x14ac:dyDescent="0.15">
      <c r="B13" s="55" t="s">
        <v>24</v>
      </c>
      <c r="C13" s="56"/>
      <c r="D13" s="56"/>
      <c r="E13" s="56"/>
      <c r="F13" s="56"/>
      <c r="G13" s="56"/>
    </row>
    <row r="14" spans="2:8" s="57" customFormat="1" ht="42" customHeight="1" x14ac:dyDescent="0.2">
      <c r="B14" s="59"/>
      <c r="C14" s="60"/>
      <c r="D14" s="60"/>
      <c r="E14" s="60"/>
      <c r="F14" s="60"/>
      <c r="G14" s="60"/>
    </row>
    <row r="15" spans="2:8" ht="42" customHeight="1" x14ac:dyDescent="0.2">
      <c r="B15" s="60"/>
      <c r="C15" s="60"/>
      <c r="D15" s="60"/>
      <c r="E15" s="60"/>
      <c r="F15" s="60"/>
      <c r="G15" s="60"/>
    </row>
    <row r="16" spans="2:8" ht="16" x14ac:dyDescent="0.2">
      <c r="B16" s="60"/>
      <c r="C16" s="60"/>
      <c r="D16" s="60"/>
      <c r="E16" s="60"/>
      <c r="F16" s="60"/>
      <c r="G16" s="60"/>
    </row>
  </sheetData>
  <phoneticPr fontId="3" type="noConversion"/>
  <pageMargins left="0.75000000000000011" right="0.75000000000000011"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Instructions</vt:lpstr>
      <vt:lpstr>Weighting</vt:lpstr>
      <vt:lpstr>Self Assessment</vt:lpstr>
      <vt:lpstr>Results</vt:lpstr>
      <vt:lpstr>Recommendations</vt:lpstr>
      <vt:lpstr>About Author</vt:lpstr>
      <vt:lpstr>'About Author'!Print_Area</vt:lpstr>
      <vt:lpstr>Instructions!Print_Area</vt:lpstr>
      <vt:lpstr>Recommendations!Print_Area</vt:lpstr>
      <vt:lpstr>Results!Print_Area</vt:lpstr>
      <vt:lpstr>'Self Assessment'!Print_Area</vt:lpstr>
      <vt:lpstr>Weighting!Print_Area</vt:lpstr>
    </vt:vector>
  </TitlesOfParts>
  <Manager/>
  <Company>Demand Metric Research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Brand Assessment Tool</dc:title>
  <dc:subject/>
  <dc:creator>Lisette Gomez</dc:creator>
  <cp:keywords/>
  <dc:description>Demand Metric Research Corporation. All rights reserved. Governed under the single user license terms agreed to by end user. May not be distributed without prior written permission. www.demandmetric.com</dc:description>
  <cp:lastModifiedBy>Lisette Gomez</cp:lastModifiedBy>
  <cp:lastPrinted>2011-10-05T01:51:14Z</cp:lastPrinted>
  <dcterms:created xsi:type="dcterms:W3CDTF">2003-12-17T00:09:40Z</dcterms:created>
  <dcterms:modified xsi:type="dcterms:W3CDTF">2018-06-21T16:31:01Z</dcterms:modified>
  <cp:category/>
</cp:coreProperties>
</file>